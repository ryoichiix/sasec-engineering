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2"/>
  </bookViews>
  <sheets>
    <sheet name="Jun.25" sheetId="1" r:id="rId1"/>
    <sheet name="Jul.25" sheetId="2" r:id="rId2"/>
    <sheet name="Aug.25" sheetId="3" r:id="rId3"/>
  </sheets>
  <externalReferences>
    <externalReference r:id="rId4"/>
    <externalReference r:id="rId5"/>
  </externalReferences>
  <definedNames>
    <definedName name="_xlnm._FilterDatabase" localSheetId="2" hidden="1">Aug.25!$A$4:$V$99</definedName>
    <definedName name="_xlnm._FilterDatabase" localSheetId="1" hidden="1">Jul.25!$A$4:$V$98</definedName>
    <definedName name="_xlnm._FilterDatabase" localSheetId="0" hidden="1">Jun.25!$A$4:$X$92</definedName>
    <definedName name="Apr.26">[1]APR.26!$C$5:$X$154</definedName>
    <definedName name="Dec.25">[2]Dec.25!$B$5:$O$140</definedName>
    <definedName name="Feb.26">[2]Feb.26!$C$5:$W$148</definedName>
    <definedName name="Jan.26">[2]Jan.26!$B$5:$O$145</definedName>
    <definedName name="Mar.26">[2]Mar.26!$C$5:$X$149</definedName>
    <definedName name="Nov.25">[2]Nov.25!$B$5:$O$131</definedName>
  </definedNames>
  <calcPr calcId="124519"/>
</workbook>
</file>

<file path=xl/calcChain.xml><?xml version="1.0" encoding="utf-8"?>
<calcChain xmlns="http://schemas.openxmlformats.org/spreadsheetml/2006/main">
  <c r="J14" i="3"/>
  <c r="A32" i="2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33" i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32"/>
  <c r="Q103" i="3" l="1"/>
  <c r="P103"/>
  <c r="R56"/>
  <c r="M56"/>
  <c r="L56"/>
  <c r="R40"/>
  <c r="M40"/>
  <c r="L40"/>
  <c r="O40" s="1"/>
  <c r="S40" s="1"/>
  <c r="R55"/>
  <c r="M55"/>
  <c r="L55"/>
  <c r="R63"/>
  <c r="M63"/>
  <c r="L63"/>
  <c r="O63" s="1"/>
  <c r="S63" s="1"/>
  <c r="R54"/>
  <c r="M54"/>
  <c r="L54"/>
  <c r="R53"/>
  <c r="M53"/>
  <c r="L53"/>
  <c r="O53" s="1"/>
  <c r="S53" s="1"/>
  <c r="R52"/>
  <c r="M52"/>
  <c r="L52"/>
  <c r="R41"/>
  <c r="I41"/>
  <c r="L41" s="1"/>
  <c r="R39"/>
  <c r="M39"/>
  <c r="L39"/>
  <c r="O39" s="1"/>
  <c r="S39" s="1"/>
  <c r="R51"/>
  <c r="M51"/>
  <c r="L51"/>
  <c r="R50"/>
  <c r="M50"/>
  <c r="L50"/>
  <c r="O50" s="1"/>
  <c r="S50" s="1"/>
  <c r="R98"/>
  <c r="M98"/>
  <c r="L98"/>
  <c r="U85"/>
  <c r="R85" s="1"/>
  <c r="I85"/>
  <c r="L85" s="1"/>
  <c r="R38"/>
  <c r="I38"/>
  <c r="M38" s="1"/>
  <c r="R57"/>
  <c r="I57"/>
  <c r="L57" s="1"/>
  <c r="R49"/>
  <c r="I49"/>
  <c r="M49" s="1"/>
  <c r="R99"/>
  <c r="I99"/>
  <c r="L99" s="1"/>
  <c r="R32"/>
  <c r="M32"/>
  <c r="L32"/>
  <c r="R97"/>
  <c r="I97"/>
  <c r="M97" s="1"/>
  <c r="R96"/>
  <c r="I96"/>
  <c r="L96" s="1"/>
  <c r="R95"/>
  <c r="I95"/>
  <c r="M95" s="1"/>
  <c r="R94"/>
  <c r="I94"/>
  <c r="L94" s="1"/>
  <c r="R93"/>
  <c r="I93"/>
  <c r="M93" s="1"/>
  <c r="V92"/>
  <c r="R92"/>
  <c r="I92"/>
  <c r="M92" s="1"/>
  <c r="V91"/>
  <c r="R91" s="1"/>
  <c r="I91"/>
  <c r="M91" s="1"/>
  <c r="R90"/>
  <c r="I90"/>
  <c r="L90" s="1"/>
  <c r="R89"/>
  <c r="L89"/>
  <c r="I89"/>
  <c r="M89" s="1"/>
  <c r="R88"/>
  <c r="M88"/>
  <c r="L88"/>
  <c r="V86"/>
  <c r="R86"/>
  <c r="I86"/>
  <c r="M86" s="1"/>
  <c r="R84"/>
  <c r="I84"/>
  <c r="L84" s="1"/>
  <c r="R83"/>
  <c r="I83"/>
  <c r="M83" s="1"/>
  <c r="R82"/>
  <c r="I82"/>
  <c r="L82" s="1"/>
  <c r="R81"/>
  <c r="I81"/>
  <c r="M81" s="1"/>
  <c r="R80"/>
  <c r="I80"/>
  <c r="L80" s="1"/>
  <c r="R79"/>
  <c r="L79"/>
  <c r="O79" s="1"/>
  <c r="S79" s="1"/>
  <c r="I79"/>
  <c r="M79" s="1"/>
  <c r="R78"/>
  <c r="I78"/>
  <c r="L78" s="1"/>
  <c r="R77"/>
  <c r="I77"/>
  <c r="M77" s="1"/>
  <c r="R76"/>
  <c r="I76"/>
  <c r="L76" s="1"/>
  <c r="R75"/>
  <c r="I75"/>
  <c r="M75" s="1"/>
  <c r="R74"/>
  <c r="M74"/>
  <c r="L74"/>
  <c r="R73"/>
  <c r="I73"/>
  <c r="L73" s="1"/>
  <c r="V72"/>
  <c r="R72" s="1"/>
  <c r="I72"/>
  <c r="L72" s="1"/>
  <c r="R71"/>
  <c r="L71"/>
  <c r="O71" s="1"/>
  <c r="S71" s="1"/>
  <c r="I71"/>
  <c r="M71" s="1"/>
  <c r="R70"/>
  <c r="I70"/>
  <c r="L70" s="1"/>
  <c r="R69"/>
  <c r="I69"/>
  <c r="M69" s="1"/>
  <c r="R68"/>
  <c r="I68"/>
  <c r="L68" s="1"/>
  <c r="R67"/>
  <c r="I67"/>
  <c r="M67" s="1"/>
  <c r="R66"/>
  <c r="I66"/>
  <c r="L66" s="1"/>
  <c r="R65"/>
  <c r="I65"/>
  <c r="M65" s="1"/>
  <c r="R64"/>
  <c r="I64"/>
  <c r="L64" s="1"/>
  <c r="R62"/>
  <c r="M62"/>
  <c r="L62"/>
  <c r="R61"/>
  <c r="I61"/>
  <c r="M61" s="1"/>
  <c r="R60"/>
  <c r="I60"/>
  <c r="L60" s="1"/>
  <c r="R59"/>
  <c r="M59"/>
  <c r="L59"/>
  <c r="R58"/>
  <c r="I58"/>
  <c r="M58" s="1"/>
  <c r="R44"/>
  <c r="I44"/>
  <c r="L44" s="1"/>
  <c r="R87"/>
  <c r="M87"/>
  <c r="L87"/>
  <c r="R48"/>
  <c r="I48"/>
  <c r="M48" s="1"/>
  <c r="R47"/>
  <c r="I47"/>
  <c r="L47" s="1"/>
  <c r="R46"/>
  <c r="I46"/>
  <c r="M46" s="1"/>
  <c r="R45"/>
  <c r="N45"/>
  <c r="I45"/>
  <c r="M45" s="1"/>
  <c r="R43"/>
  <c r="I43"/>
  <c r="L43" s="1"/>
  <c r="R42"/>
  <c r="L42"/>
  <c r="I42"/>
  <c r="M42" s="1"/>
  <c r="R37"/>
  <c r="I37"/>
  <c r="L37" s="1"/>
  <c r="R36"/>
  <c r="I36"/>
  <c r="M36" s="1"/>
  <c r="V35"/>
  <c r="R35" s="1"/>
  <c r="N35"/>
  <c r="I35"/>
  <c r="L35" s="1"/>
  <c r="R34"/>
  <c r="I34"/>
  <c r="M34" s="1"/>
  <c r="V33"/>
  <c r="R33"/>
  <c r="I33"/>
  <c r="M33" s="1"/>
  <c r="R31"/>
  <c r="N31"/>
  <c r="L31"/>
  <c r="I31"/>
  <c r="M31" s="1"/>
  <c r="R30"/>
  <c r="M30"/>
  <c r="L30"/>
  <c r="R29"/>
  <c r="N29"/>
  <c r="I29"/>
  <c r="M29" s="1"/>
  <c r="R28"/>
  <c r="I28"/>
  <c r="M28" s="1"/>
  <c r="R27"/>
  <c r="N27"/>
  <c r="I27"/>
  <c r="M27" s="1"/>
  <c r="V26"/>
  <c r="R26" s="1"/>
  <c r="I26"/>
  <c r="M26" s="1"/>
  <c r="R25"/>
  <c r="N25"/>
  <c r="I25"/>
  <c r="M25" s="1"/>
  <c r="R24"/>
  <c r="I24"/>
  <c r="M24" s="1"/>
  <c r="R23"/>
  <c r="N23"/>
  <c r="I23"/>
  <c r="M23" s="1"/>
  <c r="R22"/>
  <c r="N22"/>
  <c r="I22"/>
  <c r="M22" s="1"/>
  <c r="R21"/>
  <c r="N21"/>
  <c r="I21"/>
  <c r="M21" s="1"/>
  <c r="R20"/>
  <c r="N20"/>
  <c r="I20"/>
  <c r="M20" s="1"/>
  <c r="R19"/>
  <c r="N19"/>
  <c r="I19"/>
  <c r="M19" s="1"/>
  <c r="R18"/>
  <c r="N18"/>
  <c r="I18"/>
  <c r="M18" s="1"/>
  <c r="R17"/>
  <c r="N17"/>
  <c r="I17"/>
  <c r="M17" s="1"/>
  <c r="R16"/>
  <c r="N16"/>
  <c r="I16"/>
  <c r="M16" s="1"/>
  <c r="R15"/>
  <c r="N15"/>
  <c r="I15"/>
  <c r="M15" s="1"/>
  <c r="R14"/>
  <c r="I14"/>
  <c r="R13"/>
  <c r="N13"/>
  <c r="I13"/>
  <c r="M13" s="1"/>
  <c r="R12"/>
  <c r="N12"/>
  <c r="I12"/>
  <c r="M12" s="1"/>
  <c r="R11"/>
  <c r="N11"/>
  <c r="I11"/>
  <c r="M11" s="1"/>
  <c r="R10"/>
  <c r="N10"/>
  <c r="I10"/>
  <c r="M10" s="1"/>
  <c r="R9"/>
  <c r="N9"/>
  <c r="I9"/>
  <c r="M9" s="1"/>
  <c r="R8"/>
  <c r="N8"/>
  <c r="I8"/>
  <c r="M8" s="1"/>
  <c r="R7"/>
  <c r="N7"/>
  <c r="N103" s="1"/>
  <c r="I7"/>
  <c r="M7" s="1"/>
  <c r="R6"/>
  <c r="I6"/>
  <c r="M6" s="1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R5"/>
  <c r="I5"/>
  <c r="M5" s="1"/>
  <c r="W3"/>
  <c r="V3"/>
  <c r="U3"/>
  <c r="Q104" i="2"/>
  <c r="P104"/>
  <c r="R40"/>
  <c r="M40"/>
  <c r="L40"/>
  <c r="R55"/>
  <c r="M55"/>
  <c r="L55"/>
  <c r="O55" s="1"/>
  <c r="S55" s="1"/>
  <c r="R62"/>
  <c r="M62"/>
  <c r="L62"/>
  <c r="V54"/>
  <c r="R54" s="1"/>
  <c r="M54"/>
  <c r="L54"/>
  <c r="R53"/>
  <c r="M53"/>
  <c r="L53"/>
  <c r="R52"/>
  <c r="M52"/>
  <c r="L52"/>
  <c r="R41"/>
  <c r="I41"/>
  <c r="M41" s="1"/>
  <c r="R39"/>
  <c r="M39"/>
  <c r="L39"/>
  <c r="R51"/>
  <c r="M51"/>
  <c r="L51"/>
  <c r="O51" s="1"/>
  <c r="S51" s="1"/>
  <c r="R50"/>
  <c r="M50"/>
  <c r="L50"/>
  <c r="R97"/>
  <c r="M97"/>
  <c r="L97"/>
  <c r="O97" s="1"/>
  <c r="S97" s="1"/>
  <c r="R84"/>
  <c r="L84"/>
  <c r="I84"/>
  <c r="M84" s="1"/>
  <c r="R38"/>
  <c r="I38"/>
  <c r="M38" s="1"/>
  <c r="R56"/>
  <c r="L56"/>
  <c r="I56"/>
  <c r="M56" s="1"/>
  <c r="R49"/>
  <c r="I49"/>
  <c r="M49" s="1"/>
  <c r="R98"/>
  <c r="L98"/>
  <c r="O98" s="1"/>
  <c r="S98" s="1"/>
  <c r="I98"/>
  <c r="M98" s="1"/>
  <c r="R32"/>
  <c r="M32"/>
  <c r="L32"/>
  <c r="O32" s="1"/>
  <c r="S32" s="1"/>
  <c r="R96"/>
  <c r="I96"/>
  <c r="L96" s="1"/>
  <c r="R95"/>
  <c r="I95"/>
  <c r="L95" s="1"/>
  <c r="R94"/>
  <c r="I94"/>
  <c r="L94" s="1"/>
  <c r="R93"/>
  <c r="I93"/>
  <c r="L93" s="1"/>
  <c r="R92"/>
  <c r="I92"/>
  <c r="L92" s="1"/>
  <c r="R91"/>
  <c r="I91"/>
  <c r="L91" s="1"/>
  <c r="R90"/>
  <c r="I90"/>
  <c r="L90" s="1"/>
  <c r="R89"/>
  <c r="I89"/>
  <c r="L89" s="1"/>
  <c r="R88"/>
  <c r="I88"/>
  <c r="L88" s="1"/>
  <c r="R87"/>
  <c r="M87"/>
  <c r="L87"/>
  <c r="R85"/>
  <c r="I85"/>
  <c r="M85" s="1"/>
  <c r="R83"/>
  <c r="L83"/>
  <c r="I83"/>
  <c r="M83" s="1"/>
  <c r="R82"/>
  <c r="M82"/>
  <c r="L82"/>
  <c r="R81"/>
  <c r="I81"/>
  <c r="L81" s="1"/>
  <c r="R80"/>
  <c r="I80"/>
  <c r="L80" s="1"/>
  <c r="R79"/>
  <c r="I79"/>
  <c r="L79" s="1"/>
  <c r="R78"/>
  <c r="I78"/>
  <c r="L78" s="1"/>
  <c r="R77"/>
  <c r="I77"/>
  <c r="L77" s="1"/>
  <c r="R76"/>
  <c r="I76"/>
  <c r="L76" s="1"/>
  <c r="R75"/>
  <c r="I75"/>
  <c r="L75" s="1"/>
  <c r="R74"/>
  <c r="I74"/>
  <c r="L74" s="1"/>
  <c r="R73"/>
  <c r="M73"/>
  <c r="L73"/>
  <c r="R72"/>
  <c r="I72"/>
  <c r="M72" s="1"/>
  <c r="R71"/>
  <c r="L71"/>
  <c r="O71" s="1"/>
  <c r="S71" s="1"/>
  <c r="I71"/>
  <c r="M71" s="1"/>
  <c r="R70"/>
  <c r="I70"/>
  <c r="M70" s="1"/>
  <c r="R69"/>
  <c r="L69"/>
  <c r="I69"/>
  <c r="M69" s="1"/>
  <c r="R68"/>
  <c r="I68"/>
  <c r="M68" s="1"/>
  <c r="R67"/>
  <c r="L67"/>
  <c r="O67" s="1"/>
  <c r="S67" s="1"/>
  <c r="I67"/>
  <c r="M67" s="1"/>
  <c r="R66"/>
  <c r="I66"/>
  <c r="M66" s="1"/>
  <c r="R65"/>
  <c r="L65"/>
  <c r="I65"/>
  <c r="M65" s="1"/>
  <c r="R64"/>
  <c r="I64"/>
  <c r="M64" s="1"/>
  <c r="R63"/>
  <c r="L63"/>
  <c r="O63" s="1"/>
  <c r="S63" s="1"/>
  <c r="I63"/>
  <c r="M63" s="1"/>
  <c r="R61"/>
  <c r="M61"/>
  <c r="L61"/>
  <c r="O61" s="1"/>
  <c r="S61" s="1"/>
  <c r="R60"/>
  <c r="I60"/>
  <c r="L60" s="1"/>
  <c r="R59"/>
  <c r="I59"/>
  <c r="L59" s="1"/>
  <c r="R58"/>
  <c r="M58"/>
  <c r="L58"/>
  <c r="R57"/>
  <c r="I57"/>
  <c r="M57" s="1"/>
  <c r="R44"/>
  <c r="L44"/>
  <c r="I44"/>
  <c r="M44" s="1"/>
  <c r="R86"/>
  <c r="M86"/>
  <c r="L86"/>
  <c r="R48"/>
  <c r="I48"/>
  <c r="L48" s="1"/>
  <c r="R47"/>
  <c r="I47"/>
  <c r="L47" s="1"/>
  <c r="R46"/>
  <c r="I46"/>
  <c r="L46" s="1"/>
  <c r="R45"/>
  <c r="N45"/>
  <c r="I45"/>
  <c r="M45" s="1"/>
  <c r="R43"/>
  <c r="L43"/>
  <c r="O43" s="1"/>
  <c r="S43" s="1"/>
  <c r="I43"/>
  <c r="M43" s="1"/>
  <c r="R42"/>
  <c r="I42"/>
  <c r="M42" s="1"/>
  <c r="R37"/>
  <c r="L37"/>
  <c r="I37"/>
  <c r="M37" s="1"/>
  <c r="R36"/>
  <c r="I36"/>
  <c r="M36" s="1"/>
  <c r="R35"/>
  <c r="N35"/>
  <c r="I35"/>
  <c r="L35" s="1"/>
  <c r="R34"/>
  <c r="I34"/>
  <c r="L34" s="1"/>
  <c r="R33"/>
  <c r="I33"/>
  <c r="L33" s="1"/>
  <c r="R31"/>
  <c r="N31"/>
  <c r="L31"/>
  <c r="O31" s="1"/>
  <c r="S31" s="1"/>
  <c r="I31"/>
  <c r="M31" s="1"/>
  <c r="R30"/>
  <c r="M30"/>
  <c r="L30"/>
  <c r="O30" s="1"/>
  <c r="S30" s="1"/>
  <c r="R29"/>
  <c r="N29"/>
  <c r="J29"/>
  <c r="I29"/>
  <c r="M29" s="1"/>
  <c r="R28"/>
  <c r="I28"/>
  <c r="L28" s="1"/>
  <c r="R27"/>
  <c r="N27"/>
  <c r="I27"/>
  <c r="M27" s="1"/>
  <c r="R26"/>
  <c r="L26"/>
  <c r="I26"/>
  <c r="M26" s="1"/>
  <c r="R25"/>
  <c r="N25"/>
  <c r="J25"/>
  <c r="I25"/>
  <c r="L25" s="1"/>
  <c r="R24"/>
  <c r="L24"/>
  <c r="O24" s="1"/>
  <c r="S24" s="1"/>
  <c r="I24"/>
  <c r="M24" s="1"/>
  <c r="R23"/>
  <c r="N23"/>
  <c r="J23"/>
  <c r="I23"/>
  <c r="L23" s="1"/>
  <c r="R22"/>
  <c r="N22"/>
  <c r="I22"/>
  <c r="L22" s="1"/>
  <c r="R21"/>
  <c r="N21"/>
  <c r="L21"/>
  <c r="I21"/>
  <c r="M21" s="1"/>
  <c r="R20"/>
  <c r="N20"/>
  <c r="I20"/>
  <c r="L20" s="1"/>
  <c r="R19"/>
  <c r="N19"/>
  <c r="I19"/>
  <c r="M19" s="1"/>
  <c r="R18"/>
  <c r="N18"/>
  <c r="I18"/>
  <c r="L18" s="1"/>
  <c r="R17"/>
  <c r="N17"/>
  <c r="L17"/>
  <c r="O17" s="1"/>
  <c r="S17" s="1"/>
  <c r="I17"/>
  <c r="M17" s="1"/>
  <c r="R16"/>
  <c r="N16"/>
  <c r="I16"/>
  <c r="L16" s="1"/>
  <c r="R15"/>
  <c r="N15"/>
  <c r="I15"/>
  <c r="M15" s="1"/>
  <c r="R14"/>
  <c r="L14"/>
  <c r="I14"/>
  <c r="M14" s="1"/>
  <c r="R13"/>
  <c r="N13"/>
  <c r="I13"/>
  <c r="L13" s="1"/>
  <c r="R12"/>
  <c r="N12"/>
  <c r="I12"/>
  <c r="M12" s="1"/>
  <c r="R11"/>
  <c r="N11"/>
  <c r="I11"/>
  <c r="L11" s="1"/>
  <c r="R10"/>
  <c r="N10"/>
  <c r="L10"/>
  <c r="I10"/>
  <c r="M10" s="1"/>
  <c r="R9"/>
  <c r="N9"/>
  <c r="I9"/>
  <c r="L9" s="1"/>
  <c r="R8"/>
  <c r="N8"/>
  <c r="I8"/>
  <c r="M8" s="1"/>
  <c r="R7"/>
  <c r="N7"/>
  <c r="I7"/>
  <c r="L7" s="1"/>
  <c r="R6"/>
  <c r="I6"/>
  <c r="L6" s="1"/>
  <c r="R5"/>
  <c r="I5"/>
  <c r="L5" s="1"/>
  <c r="W3"/>
  <c r="V3"/>
  <c r="U3"/>
  <c r="Q94" i="1"/>
  <c r="P94"/>
  <c r="R40"/>
  <c r="I40"/>
  <c r="M40" s="1"/>
  <c r="R39"/>
  <c r="M39"/>
  <c r="L39"/>
  <c r="R50"/>
  <c r="M50"/>
  <c r="L50"/>
  <c r="R49"/>
  <c r="M49"/>
  <c r="L49"/>
  <c r="R91"/>
  <c r="M91"/>
  <c r="L91"/>
  <c r="R78"/>
  <c r="I78"/>
  <c r="L78" s="1"/>
  <c r="R38"/>
  <c r="L38"/>
  <c r="I38"/>
  <c r="M38" s="1"/>
  <c r="R51"/>
  <c r="I51"/>
  <c r="L51" s="1"/>
  <c r="W48"/>
  <c r="R48"/>
  <c r="M48"/>
  <c r="L48"/>
  <c r="O48" s="1"/>
  <c r="S48" s="1"/>
  <c r="R92"/>
  <c r="I92"/>
  <c r="L92" s="1"/>
  <c r="R32"/>
  <c r="L32"/>
  <c r="O32" s="1"/>
  <c r="S32" s="1"/>
  <c r="I32"/>
  <c r="M32" s="1"/>
  <c r="R90"/>
  <c r="I90"/>
  <c r="L90" s="1"/>
  <c r="R89"/>
  <c r="L89"/>
  <c r="I89"/>
  <c r="M89" s="1"/>
  <c r="R88"/>
  <c r="I88"/>
  <c r="L88" s="1"/>
  <c r="R87"/>
  <c r="L87"/>
  <c r="O87" s="1"/>
  <c r="S87" s="1"/>
  <c r="I87"/>
  <c r="M87" s="1"/>
  <c r="R86"/>
  <c r="I86"/>
  <c r="L86" s="1"/>
  <c r="R85"/>
  <c r="L85"/>
  <c r="I85"/>
  <c r="M85" s="1"/>
  <c r="R84"/>
  <c r="I84"/>
  <c r="L84" s="1"/>
  <c r="R83"/>
  <c r="L83"/>
  <c r="O83" s="1"/>
  <c r="S83" s="1"/>
  <c r="I83"/>
  <c r="M83" s="1"/>
  <c r="R82"/>
  <c r="I82"/>
  <c r="L82" s="1"/>
  <c r="R81"/>
  <c r="L81"/>
  <c r="I81"/>
  <c r="M81" s="1"/>
  <c r="R79"/>
  <c r="I79"/>
  <c r="L79" s="1"/>
  <c r="R77"/>
  <c r="L77"/>
  <c r="I77"/>
  <c r="M77" s="1"/>
  <c r="R76"/>
  <c r="M76"/>
  <c r="L76"/>
  <c r="O76" s="1"/>
  <c r="S76" s="1"/>
  <c r="R75"/>
  <c r="I75"/>
  <c r="L75" s="1"/>
  <c r="R74"/>
  <c r="L74"/>
  <c r="O74" s="1"/>
  <c r="S74" s="1"/>
  <c r="I74"/>
  <c r="M74" s="1"/>
  <c r="R73"/>
  <c r="I73"/>
  <c r="L73" s="1"/>
  <c r="R72"/>
  <c r="L72"/>
  <c r="I72"/>
  <c r="M72" s="1"/>
  <c r="R71"/>
  <c r="I71"/>
  <c r="L71" s="1"/>
  <c r="R70"/>
  <c r="L70"/>
  <c r="I70"/>
  <c r="M70" s="1"/>
  <c r="R69"/>
  <c r="I69"/>
  <c r="L69" s="1"/>
  <c r="R68"/>
  <c r="L68"/>
  <c r="I68"/>
  <c r="M68" s="1"/>
  <c r="R67"/>
  <c r="I67"/>
  <c r="L67" s="1"/>
  <c r="V66"/>
  <c r="R66" s="1"/>
  <c r="U66"/>
  <c r="L66"/>
  <c r="I66"/>
  <c r="M66" s="1"/>
  <c r="R65"/>
  <c r="I65"/>
  <c r="L65" s="1"/>
  <c r="R64"/>
  <c r="L64"/>
  <c r="I64"/>
  <c r="M64" s="1"/>
  <c r="R63"/>
  <c r="I63"/>
  <c r="L63" s="1"/>
  <c r="R62"/>
  <c r="L62"/>
  <c r="I62"/>
  <c r="M62" s="1"/>
  <c r="R61"/>
  <c r="I61"/>
  <c r="L61" s="1"/>
  <c r="R60"/>
  <c r="L60"/>
  <c r="I60"/>
  <c r="M60" s="1"/>
  <c r="R59"/>
  <c r="I59"/>
  <c r="L59" s="1"/>
  <c r="R58"/>
  <c r="L58"/>
  <c r="I58"/>
  <c r="M58" s="1"/>
  <c r="R57"/>
  <c r="I57"/>
  <c r="L57" s="1"/>
  <c r="R56"/>
  <c r="M56"/>
  <c r="L56"/>
  <c r="R55"/>
  <c r="L55"/>
  <c r="I55"/>
  <c r="M55" s="1"/>
  <c r="R54"/>
  <c r="I54"/>
  <c r="L54" s="1"/>
  <c r="R53"/>
  <c r="M53"/>
  <c r="L53"/>
  <c r="R52"/>
  <c r="I52"/>
  <c r="M52" s="1"/>
  <c r="R43"/>
  <c r="L43"/>
  <c r="I43"/>
  <c r="M43" s="1"/>
  <c r="R80"/>
  <c r="I80"/>
  <c r="M80" s="1"/>
  <c r="R47"/>
  <c r="L47"/>
  <c r="I47"/>
  <c r="M47" s="1"/>
  <c r="R46"/>
  <c r="I46"/>
  <c r="M46" s="1"/>
  <c r="R45"/>
  <c r="L45"/>
  <c r="I45"/>
  <c r="M45" s="1"/>
  <c r="R44"/>
  <c r="N44"/>
  <c r="L44"/>
  <c r="I44"/>
  <c r="M44" s="1"/>
  <c r="R42"/>
  <c r="I42"/>
  <c r="M42" s="1"/>
  <c r="R41"/>
  <c r="L41"/>
  <c r="I41"/>
  <c r="M41" s="1"/>
  <c r="R37"/>
  <c r="I37"/>
  <c r="M37" s="1"/>
  <c r="R36"/>
  <c r="L36"/>
  <c r="I36"/>
  <c r="M36" s="1"/>
  <c r="R35"/>
  <c r="N35"/>
  <c r="L35"/>
  <c r="I35"/>
  <c r="M35" s="1"/>
  <c r="R34"/>
  <c r="I34"/>
  <c r="M34" s="1"/>
  <c r="R33"/>
  <c r="L33"/>
  <c r="I33"/>
  <c r="M33" s="1"/>
  <c r="R31"/>
  <c r="N31"/>
  <c r="I31"/>
  <c r="M31" s="1"/>
  <c r="R30"/>
  <c r="M30"/>
  <c r="L30"/>
  <c r="R29"/>
  <c r="N29"/>
  <c r="I29"/>
  <c r="M29" s="1"/>
  <c r="V28"/>
  <c r="R28"/>
  <c r="I28"/>
  <c r="M28" s="1"/>
  <c r="R27"/>
  <c r="N27"/>
  <c r="I27"/>
  <c r="M27" s="1"/>
  <c r="R26"/>
  <c r="L26"/>
  <c r="I26"/>
  <c r="M26" s="1"/>
  <c r="R25"/>
  <c r="N25"/>
  <c r="L25"/>
  <c r="I25"/>
  <c r="M25" s="1"/>
  <c r="R24"/>
  <c r="I24"/>
  <c r="M24" s="1"/>
  <c r="R23"/>
  <c r="N23"/>
  <c r="I23"/>
  <c r="M23" s="1"/>
  <c r="R22"/>
  <c r="N22"/>
  <c r="I22"/>
  <c r="M22" s="1"/>
  <c r="R21"/>
  <c r="N21"/>
  <c r="I21"/>
  <c r="M21" s="1"/>
  <c r="R20"/>
  <c r="N20"/>
  <c r="I20"/>
  <c r="M20" s="1"/>
  <c r="N19"/>
  <c r="I19"/>
  <c r="L19" s="1"/>
  <c r="U18"/>
  <c r="R18"/>
  <c r="N18"/>
  <c r="I18"/>
  <c r="M18" s="1"/>
  <c r="R17"/>
  <c r="N17"/>
  <c r="I17"/>
  <c r="M17" s="1"/>
  <c r="R16"/>
  <c r="N16"/>
  <c r="I16"/>
  <c r="M16" s="1"/>
  <c r="R15"/>
  <c r="N15"/>
  <c r="I15"/>
  <c r="M15" s="1"/>
  <c r="R14"/>
  <c r="I14"/>
  <c r="L14" s="1"/>
  <c r="R13"/>
  <c r="N13"/>
  <c r="L13"/>
  <c r="I13"/>
  <c r="M13" s="1"/>
  <c r="R12"/>
  <c r="N12"/>
  <c r="L12"/>
  <c r="I12"/>
  <c r="M12" s="1"/>
  <c r="R11"/>
  <c r="N11"/>
  <c r="L11"/>
  <c r="I11"/>
  <c r="M11" s="1"/>
  <c r="R10"/>
  <c r="I10"/>
  <c r="M10" s="1"/>
  <c r="R9"/>
  <c r="N9"/>
  <c r="I9"/>
  <c r="M9" s="1"/>
  <c r="R8"/>
  <c r="N8"/>
  <c r="I8"/>
  <c r="M8" s="1"/>
  <c r="R7"/>
  <c r="N7"/>
  <c r="I7"/>
  <c r="M7" s="1"/>
  <c r="R6"/>
  <c r="I6"/>
  <c r="L6" s="1"/>
  <c r="A6"/>
  <c r="R5"/>
  <c r="I5"/>
  <c r="M5" s="1"/>
  <c r="W3"/>
  <c r="V3"/>
  <c r="U3"/>
  <c r="N104" i="2" l="1"/>
  <c r="O10"/>
  <c r="S10" s="1"/>
  <c r="O14"/>
  <c r="S14" s="1"/>
  <c r="O21"/>
  <c r="S21" s="1"/>
  <c r="O26"/>
  <c r="S26" s="1"/>
  <c r="O30" i="3"/>
  <c r="S30" s="1"/>
  <c r="O31"/>
  <c r="S31" s="1"/>
  <c r="O42"/>
  <c r="S42" s="1"/>
  <c r="O88"/>
  <c r="S88" s="1"/>
  <c r="O89"/>
  <c r="S89" s="1"/>
  <c r="O37" i="2"/>
  <c r="S37" s="1"/>
  <c r="O86"/>
  <c r="S86" s="1"/>
  <c r="O44"/>
  <c r="S44" s="1"/>
  <c r="O65"/>
  <c r="S65" s="1"/>
  <c r="O69"/>
  <c r="S69" s="1"/>
  <c r="O82"/>
  <c r="S82" s="1"/>
  <c r="O83"/>
  <c r="S83" s="1"/>
  <c r="O56"/>
  <c r="S56" s="1"/>
  <c r="O53"/>
  <c r="S53" s="1"/>
  <c r="O60" i="1"/>
  <c r="S60" s="1"/>
  <c r="O64"/>
  <c r="S64" s="1"/>
  <c r="O70"/>
  <c r="S70" s="1"/>
  <c r="O49"/>
  <c r="S49" s="1"/>
  <c r="O39"/>
  <c r="S39" s="1"/>
  <c r="L14" i="3"/>
  <c r="O87"/>
  <c r="S87" s="1"/>
  <c r="L67"/>
  <c r="O67" s="1"/>
  <c r="S67" s="1"/>
  <c r="L83"/>
  <c r="O83" s="1"/>
  <c r="S83" s="1"/>
  <c r="L95"/>
  <c r="O95" s="1"/>
  <c r="S95" s="1"/>
  <c r="L38"/>
  <c r="O38" s="1"/>
  <c r="S38" s="1"/>
  <c r="R104" i="2"/>
  <c r="M23"/>
  <c r="O23" s="1"/>
  <c r="S23" s="1"/>
  <c r="M25"/>
  <c r="O25" s="1"/>
  <c r="S25" s="1"/>
  <c r="L8"/>
  <c r="L12"/>
  <c r="L15"/>
  <c r="L19"/>
  <c r="L27"/>
  <c r="L36"/>
  <c r="O36" s="1"/>
  <c r="S36" s="1"/>
  <c r="L42"/>
  <c r="L45"/>
  <c r="O45" s="1"/>
  <c r="S45" s="1"/>
  <c r="L57"/>
  <c r="O58"/>
  <c r="S58" s="1"/>
  <c r="L64"/>
  <c r="L66"/>
  <c r="O66" s="1"/>
  <c r="S66" s="1"/>
  <c r="L68"/>
  <c r="L70"/>
  <c r="O70" s="1"/>
  <c r="S70" s="1"/>
  <c r="L72"/>
  <c r="O73"/>
  <c r="S73" s="1"/>
  <c r="L85"/>
  <c r="O87"/>
  <c r="S87" s="1"/>
  <c r="L49"/>
  <c r="O49" s="1"/>
  <c r="S49" s="1"/>
  <c r="L38"/>
  <c r="O38" s="1"/>
  <c r="S38" s="1"/>
  <c r="O50"/>
  <c r="S50" s="1"/>
  <c r="O39"/>
  <c r="S39" s="1"/>
  <c r="L41"/>
  <c r="O52"/>
  <c r="S52" s="1"/>
  <c r="O54"/>
  <c r="S54" s="1"/>
  <c r="O62"/>
  <c r="S62" s="1"/>
  <c r="O40"/>
  <c r="S40" s="1"/>
  <c r="L5" i="3"/>
  <c r="L7"/>
  <c r="L8"/>
  <c r="L9"/>
  <c r="L10"/>
  <c r="L11"/>
  <c r="L12"/>
  <c r="L13"/>
  <c r="L15"/>
  <c r="L16"/>
  <c r="L17"/>
  <c r="L18"/>
  <c r="L19"/>
  <c r="L20"/>
  <c r="L21"/>
  <c r="L22"/>
  <c r="L23"/>
  <c r="L24"/>
  <c r="L29"/>
  <c r="L45"/>
  <c r="L61"/>
  <c r="L65"/>
  <c r="L69"/>
  <c r="L77"/>
  <c r="L81"/>
  <c r="L86"/>
  <c r="L91"/>
  <c r="L92"/>
  <c r="L93"/>
  <c r="L97"/>
  <c r="L49"/>
  <c r="R103"/>
  <c r="M14"/>
  <c r="O14" s="1"/>
  <c r="S14" s="1"/>
  <c r="N94" i="1"/>
  <c r="R94"/>
  <c r="O11"/>
  <c r="S11" s="1"/>
  <c r="O12"/>
  <c r="S12" s="1"/>
  <c r="O13"/>
  <c r="S13" s="1"/>
  <c r="O30"/>
  <c r="S30" s="1"/>
  <c r="O35"/>
  <c r="S35" s="1"/>
  <c r="O36"/>
  <c r="S36" s="1"/>
  <c r="O44"/>
  <c r="S44" s="1"/>
  <c r="O45"/>
  <c r="S45" s="1"/>
  <c r="O43"/>
  <c r="S43" s="1"/>
  <c r="O53"/>
  <c r="S53" s="1"/>
  <c r="O56"/>
  <c r="S56" s="1"/>
  <c r="O38"/>
  <c r="S38" s="1"/>
  <c r="O91"/>
  <c r="S91" s="1"/>
  <c r="O50"/>
  <c r="S50" s="1"/>
  <c r="O59" i="3"/>
  <c r="S59" s="1"/>
  <c r="O62"/>
  <c r="S62" s="1"/>
  <c r="O74"/>
  <c r="S74" s="1"/>
  <c r="O32"/>
  <c r="S32" s="1"/>
  <c r="O98"/>
  <c r="S98" s="1"/>
  <c r="O51"/>
  <c r="S51" s="1"/>
  <c r="O52"/>
  <c r="S52" s="1"/>
  <c r="O54"/>
  <c r="S54" s="1"/>
  <c r="O55"/>
  <c r="S55" s="1"/>
  <c r="O56"/>
  <c r="S56" s="1"/>
  <c r="O7"/>
  <c r="S7" s="1"/>
  <c r="O8"/>
  <c r="S8" s="1"/>
  <c r="O9"/>
  <c r="S9" s="1"/>
  <c r="O10"/>
  <c r="S10" s="1"/>
  <c r="O11"/>
  <c r="S11" s="1"/>
  <c r="O12"/>
  <c r="S12" s="1"/>
  <c r="O13"/>
  <c r="S13" s="1"/>
  <c r="O15"/>
  <c r="S15" s="1"/>
  <c r="O16"/>
  <c r="S16" s="1"/>
  <c r="O17"/>
  <c r="S17" s="1"/>
  <c r="O18"/>
  <c r="S18" s="1"/>
  <c r="O19"/>
  <c r="S19" s="1"/>
  <c r="O20"/>
  <c r="S20" s="1"/>
  <c r="O21"/>
  <c r="S21" s="1"/>
  <c r="O22"/>
  <c r="S22" s="1"/>
  <c r="O23"/>
  <c r="S23" s="1"/>
  <c r="O24"/>
  <c r="S24" s="1"/>
  <c r="O29"/>
  <c r="S29" s="1"/>
  <c r="O45"/>
  <c r="S45" s="1"/>
  <c r="O61"/>
  <c r="S61" s="1"/>
  <c r="O65"/>
  <c r="S65" s="1"/>
  <c r="O69"/>
  <c r="S69" s="1"/>
  <c r="O77"/>
  <c r="S77" s="1"/>
  <c r="O81"/>
  <c r="S81" s="1"/>
  <c r="O86"/>
  <c r="S86" s="1"/>
  <c r="O91"/>
  <c r="S91" s="1"/>
  <c r="O92"/>
  <c r="S92" s="1"/>
  <c r="O93"/>
  <c r="S93" s="1"/>
  <c r="O97"/>
  <c r="S97" s="1"/>
  <c r="O49"/>
  <c r="S49" s="1"/>
  <c r="L6"/>
  <c r="O6" s="1"/>
  <c r="S6" s="1"/>
  <c r="L25"/>
  <c r="O25" s="1"/>
  <c r="S25" s="1"/>
  <c r="L26"/>
  <c r="O26" s="1"/>
  <c r="S26" s="1"/>
  <c r="L27"/>
  <c r="O27" s="1"/>
  <c r="S27" s="1"/>
  <c r="L28"/>
  <c r="O28" s="1"/>
  <c r="S28" s="1"/>
  <c r="L33"/>
  <c r="O33" s="1"/>
  <c r="S33" s="1"/>
  <c r="L34"/>
  <c r="O34" s="1"/>
  <c r="S34" s="1"/>
  <c r="M35"/>
  <c r="O35" s="1"/>
  <c r="S35" s="1"/>
  <c r="L36"/>
  <c r="O36" s="1"/>
  <c r="S36" s="1"/>
  <c r="M37"/>
  <c r="O37" s="1"/>
  <c r="S37" s="1"/>
  <c r="M43"/>
  <c r="O43" s="1"/>
  <c r="S43" s="1"/>
  <c r="L46"/>
  <c r="O46" s="1"/>
  <c r="S46" s="1"/>
  <c r="M47"/>
  <c r="O47" s="1"/>
  <c r="S47" s="1"/>
  <c r="L48"/>
  <c r="O48" s="1"/>
  <c r="S48" s="1"/>
  <c r="M44"/>
  <c r="O44" s="1"/>
  <c r="S44" s="1"/>
  <c r="L58"/>
  <c r="O58" s="1"/>
  <c r="S58" s="1"/>
  <c r="M60"/>
  <c r="O60" s="1"/>
  <c r="S60" s="1"/>
  <c r="M64"/>
  <c r="O64" s="1"/>
  <c r="S64" s="1"/>
  <c r="M66"/>
  <c r="O66" s="1"/>
  <c r="S66" s="1"/>
  <c r="M68"/>
  <c r="O68" s="1"/>
  <c r="S68" s="1"/>
  <c r="M70"/>
  <c r="O70" s="1"/>
  <c r="S70" s="1"/>
  <c r="M72"/>
  <c r="O72" s="1"/>
  <c r="S72" s="1"/>
  <c r="M73"/>
  <c r="O73" s="1"/>
  <c r="S73" s="1"/>
  <c r="L75"/>
  <c r="O75" s="1"/>
  <c r="S75" s="1"/>
  <c r="M76"/>
  <c r="O76" s="1"/>
  <c r="S76" s="1"/>
  <c r="M78"/>
  <c r="O78" s="1"/>
  <c r="S78" s="1"/>
  <c r="M80"/>
  <c r="O80" s="1"/>
  <c r="S80" s="1"/>
  <c r="M82"/>
  <c r="O82" s="1"/>
  <c r="S82" s="1"/>
  <c r="M84"/>
  <c r="O84" s="1"/>
  <c r="S84" s="1"/>
  <c r="M90"/>
  <c r="O90" s="1"/>
  <c r="S90" s="1"/>
  <c r="M94"/>
  <c r="O94" s="1"/>
  <c r="S94" s="1"/>
  <c r="M96"/>
  <c r="O96" s="1"/>
  <c r="S96" s="1"/>
  <c r="M99"/>
  <c r="O99" s="1"/>
  <c r="S99" s="1"/>
  <c r="M57"/>
  <c r="O57" s="1"/>
  <c r="S57" s="1"/>
  <c r="M85"/>
  <c r="O85" s="1"/>
  <c r="S85" s="1"/>
  <c r="M41"/>
  <c r="O41" s="1"/>
  <c r="S41" s="1"/>
  <c r="O5"/>
  <c r="O84" i="2"/>
  <c r="S84" s="1"/>
  <c r="O8"/>
  <c r="S8" s="1"/>
  <c r="O12"/>
  <c r="S12" s="1"/>
  <c r="O15"/>
  <c r="S15" s="1"/>
  <c r="O19"/>
  <c r="S19" s="1"/>
  <c r="O27"/>
  <c r="S27" s="1"/>
  <c r="O42"/>
  <c r="S42" s="1"/>
  <c r="O57"/>
  <c r="S57" s="1"/>
  <c r="O64"/>
  <c r="S64" s="1"/>
  <c r="O68"/>
  <c r="S68" s="1"/>
  <c r="O72"/>
  <c r="S72" s="1"/>
  <c r="O85"/>
  <c r="S85" s="1"/>
  <c r="O41"/>
  <c r="S41" s="1"/>
  <c r="M5"/>
  <c r="M6"/>
  <c r="O6" s="1"/>
  <c r="S6" s="1"/>
  <c r="M9"/>
  <c r="O9" s="1"/>
  <c r="S9" s="1"/>
  <c r="M11"/>
  <c r="O11" s="1"/>
  <c r="S11" s="1"/>
  <c r="M13"/>
  <c r="O13" s="1"/>
  <c r="S13" s="1"/>
  <c r="M18"/>
  <c r="O18" s="1"/>
  <c r="S18" s="1"/>
  <c r="M20"/>
  <c r="O20" s="1"/>
  <c r="S20" s="1"/>
  <c r="M22"/>
  <c r="O22" s="1"/>
  <c r="S22" s="1"/>
  <c r="L29"/>
  <c r="O29" s="1"/>
  <c r="S29" s="1"/>
  <c r="M33"/>
  <c r="O33" s="1"/>
  <c r="S33" s="1"/>
  <c r="M34"/>
  <c r="O34" s="1"/>
  <c r="S34" s="1"/>
  <c r="M35"/>
  <c r="O35" s="1"/>
  <c r="S35" s="1"/>
  <c r="M47"/>
  <c r="O47" s="1"/>
  <c r="S47" s="1"/>
  <c r="M48"/>
  <c r="O48" s="1"/>
  <c r="S48" s="1"/>
  <c r="M59"/>
  <c r="O59" s="1"/>
  <c r="S59" s="1"/>
  <c r="M74"/>
  <c r="O74" s="1"/>
  <c r="S74" s="1"/>
  <c r="M76"/>
  <c r="O76" s="1"/>
  <c r="S76" s="1"/>
  <c r="M78"/>
  <c r="O78" s="1"/>
  <c r="S78" s="1"/>
  <c r="M92"/>
  <c r="O92" s="1"/>
  <c r="S92" s="1"/>
  <c r="M96"/>
  <c r="O96" s="1"/>
  <c r="S96" s="1"/>
  <c r="M7"/>
  <c r="O7" s="1"/>
  <c r="S7" s="1"/>
  <c r="M16"/>
  <c r="O16" s="1"/>
  <c r="S16" s="1"/>
  <c r="M28"/>
  <c r="O28" s="1"/>
  <c r="S28" s="1"/>
  <c r="M46"/>
  <c r="O46" s="1"/>
  <c r="S46" s="1"/>
  <c r="M60"/>
  <c r="O60" s="1"/>
  <c r="S60" s="1"/>
  <c r="M75"/>
  <c r="O75" s="1"/>
  <c r="S75" s="1"/>
  <c r="M77"/>
  <c r="O77" s="1"/>
  <c r="S77" s="1"/>
  <c r="M79"/>
  <c r="O79" s="1"/>
  <c r="S79" s="1"/>
  <c r="M80"/>
  <c r="O80" s="1"/>
  <c r="S80" s="1"/>
  <c r="M81"/>
  <c r="O81" s="1"/>
  <c r="S81" s="1"/>
  <c r="M88"/>
  <c r="O88" s="1"/>
  <c r="S88" s="1"/>
  <c r="M89"/>
  <c r="O89" s="1"/>
  <c r="S89" s="1"/>
  <c r="M90"/>
  <c r="O90" s="1"/>
  <c r="S90" s="1"/>
  <c r="M91"/>
  <c r="O91" s="1"/>
  <c r="S91" s="1"/>
  <c r="M93"/>
  <c r="O93" s="1"/>
  <c r="S93" s="1"/>
  <c r="M94"/>
  <c r="O94" s="1"/>
  <c r="S94" s="1"/>
  <c r="M95"/>
  <c r="O95" s="1"/>
  <c r="S95" s="1"/>
  <c r="O25" i="1"/>
  <c r="S25" s="1"/>
  <c r="O26"/>
  <c r="S26" s="1"/>
  <c r="O33"/>
  <c r="S33" s="1"/>
  <c r="O41"/>
  <c r="S41" s="1"/>
  <c r="O47"/>
  <c r="S47" s="1"/>
  <c r="O77"/>
  <c r="S77" s="1"/>
  <c r="O55"/>
  <c r="S55" s="1"/>
  <c r="O58"/>
  <c r="S58" s="1"/>
  <c r="O62"/>
  <c r="S62" s="1"/>
  <c r="O66"/>
  <c r="S66" s="1"/>
  <c r="O68"/>
  <c r="S68" s="1"/>
  <c r="O72"/>
  <c r="S72" s="1"/>
  <c r="O81"/>
  <c r="S81" s="1"/>
  <c r="O85"/>
  <c r="S85" s="1"/>
  <c r="O89"/>
  <c r="S89" s="1"/>
  <c r="L5"/>
  <c r="M6"/>
  <c r="L7"/>
  <c r="O7" s="1"/>
  <c r="S7" s="1"/>
  <c r="L8"/>
  <c r="O8" s="1"/>
  <c r="S8" s="1"/>
  <c r="L9"/>
  <c r="O9" s="1"/>
  <c r="S9" s="1"/>
  <c r="L10"/>
  <c r="O10" s="1"/>
  <c r="S10" s="1"/>
  <c r="M14"/>
  <c r="O14" s="1"/>
  <c r="S14" s="1"/>
  <c r="L15"/>
  <c r="O15" s="1"/>
  <c r="S15" s="1"/>
  <c r="L16"/>
  <c r="O16" s="1"/>
  <c r="S16" s="1"/>
  <c r="L17"/>
  <c r="O17" s="1"/>
  <c r="S17" s="1"/>
  <c r="L18"/>
  <c r="O18" s="1"/>
  <c r="S18" s="1"/>
  <c r="M19"/>
  <c r="O19" s="1"/>
  <c r="S19" s="1"/>
  <c r="L20"/>
  <c r="O20" s="1"/>
  <c r="S20" s="1"/>
  <c r="L21"/>
  <c r="O21" s="1"/>
  <c r="S21" s="1"/>
  <c r="L22"/>
  <c r="O22" s="1"/>
  <c r="S22" s="1"/>
  <c r="L23"/>
  <c r="O23" s="1"/>
  <c r="S23" s="1"/>
  <c r="L24"/>
  <c r="O24" s="1"/>
  <c r="S24" s="1"/>
  <c r="L27"/>
  <c r="O27" s="1"/>
  <c r="S27" s="1"/>
  <c r="L28"/>
  <c r="O28" s="1"/>
  <c r="S28" s="1"/>
  <c r="L29"/>
  <c r="O29" s="1"/>
  <c r="S29" s="1"/>
  <c r="L31"/>
  <c r="O31" s="1"/>
  <c r="S31" s="1"/>
  <c r="L34"/>
  <c r="O34" s="1"/>
  <c r="S34" s="1"/>
  <c r="L37"/>
  <c r="O37" s="1"/>
  <c r="S37" s="1"/>
  <c r="L42"/>
  <c r="O42" s="1"/>
  <c r="S42" s="1"/>
  <c r="L46"/>
  <c r="O46" s="1"/>
  <c r="S46" s="1"/>
  <c r="L80"/>
  <c r="O80" s="1"/>
  <c r="S80" s="1"/>
  <c r="L52"/>
  <c r="O52" s="1"/>
  <c r="S52" s="1"/>
  <c r="M54"/>
  <c r="O54" s="1"/>
  <c r="S54" s="1"/>
  <c r="M57"/>
  <c r="O57" s="1"/>
  <c r="S57" s="1"/>
  <c r="M59"/>
  <c r="O59" s="1"/>
  <c r="S59" s="1"/>
  <c r="M61"/>
  <c r="O61" s="1"/>
  <c r="S61" s="1"/>
  <c r="M63"/>
  <c r="O63" s="1"/>
  <c r="S63" s="1"/>
  <c r="M65"/>
  <c r="O65" s="1"/>
  <c r="S65" s="1"/>
  <c r="M67"/>
  <c r="O67" s="1"/>
  <c r="S67" s="1"/>
  <c r="M69"/>
  <c r="O69" s="1"/>
  <c r="S69" s="1"/>
  <c r="M71"/>
  <c r="O71" s="1"/>
  <c r="S71" s="1"/>
  <c r="M73"/>
  <c r="O73" s="1"/>
  <c r="S73" s="1"/>
  <c r="M75"/>
  <c r="O75" s="1"/>
  <c r="S75" s="1"/>
  <c r="M79"/>
  <c r="O79" s="1"/>
  <c r="S79" s="1"/>
  <c r="M82"/>
  <c r="O82" s="1"/>
  <c r="S82" s="1"/>
  <c r="M84"/>
  <c r="O84" s="1"/>
  <c r="S84" s="1"/>
  <c r="M86"/>
  <c r="O86" s="1"/>
  <c r="S86" s="1"/>
  <c r="M88"/>
  <c r="O88" s="1"/>
  <c r="S88" s="1"/>
  <c r="M90"/>
  <c r="O90" s="1"/>
  <c r="S90" s="1"/>
  <c r="M92"/>
  <c r="O92" s="1"/>
  <c r="S92" s="1"/>
  <c r="M51"/>
  <c r="O51" s="1"/>
  <c r="S51" s="1"/>
  <c r="M78"/>
  <c r="O78" s="1"/>
  <c r="S78" s="1"/>
  <c r="L40"/>
  <c r="O40" s="1"/>
  <c r="S40" s="1"/>
  <c r="M94" l="1"/>
  <c r="S5" i="3"/>
  <c r="S103" s="1"/>
  <c r="O103"/>
  <c r="M103"/>
  <c r="L103"/>
  <c r="L104" i="2"/>
  <c r="M104"/>
  <c r="O5"/>
  <c r="O6" i="1"/>
  <c r="S6" s="1"/>
  <c r="L94"/>
  <c r="O5"/>
  <c r="S5" i="2" l="1"/>
  <c r="S104" s="1"/>
  <c r="O104"/>
  <c r="O94" i="1"/>
  <c r="S5"/>
  <c r="S94" s="1"/>
  <c r="A7" l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</calcChain>
</file>

<file path=xl/sharedStrings.xml><?xml version="1.0" encoding="utf-8"?>
<sst xmlns="http://schemas.openxmlformats.org/spreadsheetml/2006/main" count="1562" uniqueCount="317">
  <si>
    <t xml:space="preserve">SASEC ENGINEERING PVT LTD </t>
  </si>
  <si>
    <t>PAYMENT SHEET FOR THE MONTH OF JUNE-2025</t>
  </si>
  <si>
    <t>S.No.</t>
  </si>
  <si>
    <t>PF ID</t>
  </si>
  <si>
    <t>Emp.Name</t>
  </si>
  <si>
    <t>Bank Details</t>
  </si>
  <si>
    <t>Desig</t>
  </si>
  <si>
    <t>Wage</t>
  </si>
  <si>
    <t>Days</t>
  </si>
  <si>
    <t>OT</t>
  </si>
  <si>
    <t>Amount of Wages Earned</t>
  </si>
  <si>
    <t>Deductions</t>
  </si>
  <si>
    <t>Net Amount Paid</t>
  </si>
  <si>
    <t>Rem.</t>
  </si>
  <si>
    <t>Bank Name</t>
  </si>
  <si>
    <t>Address</t>
  </si>
  <si>
    <t>Account No</t>
  </si>
  <si>
    <t>IFSC Code</t>
  </si>
  <si>
    <t>Days Amt</t>
  </si>
  <si>
    <t>OT Amount</t>
  </si>
  <si>
    <t>EXTRA HR &amp; TA</t>
  </si>
  <si>
    <t>Gross Amnt</t>
  </si>
  <si>
    <t>PF Ded</t>
  </si>
  <si>
    <t>ESI</t>
  </si>
  <si>
    <t>Advance</t>
  </si>
  <si>
    <t>P.RAGHUNATH</t>
  </si>
  <si>
    <t>ICICI</t>
  </si>
  <si>
    <t>TORANAGALLU</t>
  </si>
  <si>
    <t>142301508724</t>
  </si>
  <si>
    <t>ICIC0001423</t>
  </si>
  <si>
    <t>Director</t>
  </si>
  <si>
    <t>CHANDRA SEKHAR SHARE PUPPALA</t>
  </si>
  <si>
    <t>SECUNDERABAD</t>
  </si>
  <si>
    <t>004801542856</t>
  </si>
  <si>
    <t>ICIC0000048</t>
  </si>
  <si>
    <t>NAGAPPA PANDI</t>
  </si>
  <si>
    <t>VIKASH</t>
  </si>
  <si>
    <t>007001007517</t>
  </si>
  <si>
    <t>ICIC00VSCBL</t>
  </si>
  <si>
    <t>SUP</t>
  </si>
  <si>
    <t xml:space="preserve">S V VARUN </t>
  </si>
  <si>
    <t>SBI</t>
  </si>
  <si>
    <t>CHICKBALLAPUR</t>
  </si>
  <si>
    <t>64038970694</t>
  </si>
  <si>
    <t>SBIN0040414</t>
  </si>
  <si>
    <t xml:space="preserve">HOD </t>
  </si>
  <si>
    <t>YERRISWAMY KENCHANAGOUDRA</t>
  </si>
  <si>
    <t>ADB SANDUR</t>
  </si>
  <si>
    <t>64117547025</t>
  </si>
  <si>
    <t>SBIN0040204</t>
  </si>
  <si>
    <t>S K</t>
  </si>
  <si>
    <t>NARAHARISETTY NAGARJUNA RAO</t>
  </si>
  <si>
    <t>JVSL BRANCH</t>
  </si>
  <si>
    <t>64081518216</t>
  </si>
  <si>
    <t>SBIN0040558</t>
  </si>
  <si>
    <t>FAB</t>
  </si>
  <si>
    <t>S RIYAZUDDIN</t>
  </si>
  <si>
    <t>BELLARY</t>
  </si>
  <si>
    <t>10768746144</t>
  </si>
  <si>
    <t>SBIN0000817</t>
  </si>
  <si>
    <t>SANKETH B N</t>
  </si>
  <si>
    <t>64166538986</t>
  </si>
  <si>
    <t>S.MOHAMMED SAJID</t>
  </si>
  <si>
    <t>10768738847</t>
  </si>
  <si>
    <t>DRI</t>
  </si>
  <si>
    <t>CHHOTELAL KUMAR</t>
  </si>
  <si>
    <t>PNB</t>
  </si>
  <si>
    <t>4999000100003849</t>
  </si>
  <si>
    <t>PUNB0499900</t>
  </si>
  <si>
    <t>SAW</t>
  </si>
  <si>
    <t>VT SWAMY</t>
  </si>
  <si>
    <t>K B</t>
  </si>
  <si>
    <t>7722500100083801</t>
  </si>
  <si>
    <t>KARB0000772</t>
  </si>
  <si>
    <t>IRAYYA SWADIMATH</t>
  </si>
  <si>
    <t>34977213461</t>
  </si>
  <si>
    <t>BYAS PATHAK</t>
  </si>
  <si>
    <t>4999000100005111</t>
  </si>
  <si>
    <t>S HARI KRISHNA</t>
  </si>
  <si>
    <t>4999000100039615</t>
  </si>
  <si>
    <t>FM</t>
  </si>
  <si>
    <t>AJAY SHARMA</t>
  </si>
  <si>
    <t>SUKAHA</t>
  </si>
  <si>
    <t>691910110010506</t>
  </si>
  <si>
    <t>BKID0006919</t>
  </si>
  <si>
    <t>SAFETY</t>
  </si>
  <si>
    <t>NAGA SUDHEER NAGISETTI</t>
  </si>
  <si>
    <t>BANTUMULLI</t>
  </si>
  <si>
    <t>20212412813</t>
  </si>
  <si>
    <t>SBIN0021294</t>
  </si>
  <si>
    <t>A/C</t>
  </si>
  <si>
    <t>CHANDRA SHEKHAR S</t>
  </si>
  <si>
    <t>YELUNEBCHI</t>
  </si>
  <si>
    <t>32732656611</t>
  </si>
  <si>
    <t>SBIN0015452</t>
  </si>
  <si>
    <t>G GURUSWAMY</t>
  </si>
  <si>
    <t>4999000100022448</t>
  </si>
  <si>
    <t>JITENDRA PRASAD</t>
  </si>
  <si>
    <t>4999000400032239</t>
  </si>
  <si>
    <t>H O</t>
  </si>
  <si>
    <t>SHAHABAD DIVAN</t>
  </si>
  <si>
    <t>HOSPET</t>
  </si>
  <si>
    <t>50367137899</t>
  </si>
  <si>
    <t>IDIB000B015</t>
  </si>
  <si>
    <t>H</t>
  </si>
  <si>
    <t>PAILA SOMESWAR RAO</t>
  </si>
  <si>
    <t>BARUVA</t>
  </si>
  <si>
    <t>31857426874</t>
  </si>
  <si>
    <t>SBIN0002695</t>
  </si>
  <si>
    <t>MANISH KUMAR SINGH</t>
  </si>
  <si>
    <t>007001002472</t>
  </si>
  <si>
    <t>GAGAN SINGH</t>
  </si>
  <si>
    <t>4999000100034814</t>
  </si>
  <si>
    <t>ELE</t>
  </si>
  <si>
    <t>SATISH KUMAR YADAW</t>
  </si>
  <si>
    <t>4999002100000796</t>
  </si>
  <si>
    <t>M F</t>
  </si>
  <si>
    <t>K ERAPPA</t>
  </si>
  <si>
    <t>30293831083</t>
  </si>
  <si>
    <t>SBIN0000763</t>
  </si>
  <si>
    <t>ALI MAHAMMED H</t>
  </si>
  <si>
    <t>54017449184</t>
  </si>
  <si>
    <t>MEC</t>
  </si>
  <si>
    <t>MARESHA</t>
  </si>
  <si>
    <t>KAMPLI</t>
  </si>
  <si>
    <t>37266115960</t>
  </si>
  <si>
    <t>SBIN0040118</t>
  </si>
  <si>
    <t>SK</t>
  </si>
  <si>
    <t>EROTHU DEVARAJU</t>
  </si>
  <si>
    <t>007001005747</t>
  </si>
  <si>
    <t>F</t>
  </si>
  <si>
    <t>CHANDAN KUMAR</t>
  </si>
  <si>
    <t>BARAUNI INDUSTRAIL ESTATE</t>
  </si>
  <si>
    <t>34561959249</t>
  </si>
  <si>
    <t>SBIN0004520</t>
  </si>
  <si>
    <t>PALASA LINGARAJU</t>
  </si>
  <si>
    <t>SOMPETA</t>
  </si>
  <si>
    <t>62472529194</t>
  </si>
  <si>
    <t>SBIN0021312</t>
  </si>
  <si>
    <t>MAHTAB ALAM</t>
  </si>
  <si>
    <t>PATNA</t>
  </si>
  <si>
    <t>70260100101725</t>
  </si>
  <si>
    <t>PUNB0MBGB06</t>
  </si>
  <si>
    <t>MADIYA LAXMINARAYANA</t>
  </si>
  <si>
    <t>HARIPURAM</t>
  </si>
  <si>
    <t>33913301973</t>
  </si>
  <si>
    <t>SBIN0015307</t>
  </si>
  <si>
    <t>N HUSENAPPA</t>
  </si>
  <si>
    <t>7722500100460501</t>
  </si>
  <si>
    <t>G/C</t>
  </si>
  <si>
    <t>R RATHNA NAIK</t>
  </si>
  <si>
    <t>URAVAKONDA</t>
  </si>
  <si>
    <t>31353262136</t>
  </si>
  <si>
    <t>SBIN0000946</t>
  </si>
  <si>
    <t>SUGALI VEERANNA</t>
  </si>
  <si>
    <t>ANANTAPUR</t>
  </si>
  <si>
    <t>36728809780</t>
  </si>
  <si>
    <t>SBIN0010659</t>
  </si>
  <si>
    <t>GRI</t>
  </si>
  <si>
    <t>PRAPHULA CHANDRA PRADHAN</t>
  </si>
  <si>
    <t>PATRAPUR</t>
  </si>
  <si>
    <t>32292975770</t>
  </si>
  <si>
    <t>SBIN0013633</t>
  </si>
  <si>
    <t>GANGAMMA</t>
  </si>
  <si>
    <t>007001001174</t>
  </si>
  <si>
    <t>H MANJUNATHA</t>
  </si>
  <si>
    <t>06112210048173</t>
  </si>
  <si>
    <t>CNRB0010611</t>
  </si>
  <si>
    <t>ABHINASH KUMAR</t>
  </si>
  <si>
    <t>AIRTEL</t>
  </si>
  <si>
    <t>GURGOAN</t>
  </si>
  <si>
    <t>8722722527</t>
  </si>
  <si>
    <t>AIRP0000001</t>
  </si>
  <si>
    <t>T/W</t>
  </si>
  <si>
    <t>BALARAM KADUVA</t>
  </si>
  <si>
    <t>KANCHILI</t>
  </si>
  <si>
    <t>33662012475</t>
  </si>
  <si>
    <t>SBIN0015709</t>
  </si>
  <si>
    <t>UMESHRAUT</t>
  </si>
  <si>
    <t>007001001539</t>
  </si>
  <si>
    <t>K</t>
  </si>
  <si>
    <t>BASANT PRADHAN</t>
  </si>
  <si>
    <t>CANARA BANK</t>
  </si>
  <si>
    <t>0288101024216</t>
  </si>
  <si>
    <t>CNRB0000288</t>
  </si>
  <si>
    <t>RAJESH KUMAR SINGH</t>
  </si>
  <si>
    <t>Indian Bank</t>
  </si>
  <si>
    <t>KOCHAR</t>
  </si>
  <si>
    <t>6097167930</t>
  </si>
  <si>
    <t>IDIB000D033</t>
  </si>
  <si>
    <t>NAKUL BEHARA</t>
  </si>
  <si>
    <t>20399901057</t>
  </si>
  <si>
    <t>VIR RANJAN SINGH</t>
  </si>
  <si>
    <t>POTAHI</t>
  </si>
  <si>
    <t>20413888351</t>
  </si>
  <si>
    <t>SBIN0002989</t>
  </si>
  <si>
    <t>VENKATESH</t>
  </si>
  <si>
    <t>NEMKAL</t>
  </si>
  <si>
    <t>91079471948</t>
  </si>
  <si>
    <t>APGB0003016</t>
  </si>
  <si>
    <t>MW</t>
  </si>
  <si>
    <t>SHAMBHU KUMAR THAKUR</t>
  </si>
  <si>
    <t>HUSSAINABAD</t>
  </si>
  <si>
    <t>36544200108</t>
  </si>
  <si>
    <t>SBIN0002947</t>
  </si>
  <si>
    <t>BASHISHTA KUMAR SINGH</t>
  </si>
  <si>
    <t>NISA JINDAL CAMPUS</t>
  </si>
  <si>
    <t>368101502164</t>
  </si>
  <si>
    <t>ICIC0003681</t>
  </si>
  <si>
    <t>CHINNATI MALLAYYA</t>
  </si>
  <si>
    <t>06082200040208</t>
  </si>
  <si>
    <t>CNRB0010608</t>
  </si>
  <si>
    <t>P</t>
  </si>
  <si>
    <t>VADDARA SHANKARAPPA</t>
  </si>
  <si>
    <t>06082200004387</t>
  </si>
  <si>
    <t>KORAVARA MAHESH</t>
  </si>
  <si>
    <t>007001005498</t>
  </si>
  <si>
    <t>CHUNNU KUMAR SINGH</t>
  </si>
  <si>
    <t>9901591679</t>
  </si>
  <si>
    <t>R</t>
  </si>
  <si>
    <t>SHIVSAFIR PASWAN</t>
  </si>
  <si>
    <t>007001001549</t>
  </si>
  <si>
    <t>GENA CHAUDHARI</t>
  </si>
  <si>
    <t>4999000400052394</t>
  </si>
  <si>
    <t>GUNJESH KUMAR</t>
  </si>
  <si>
    <t>HASPURA</t>
  </si>
  <si>
    <t>2006000100441073</t>
  </si>
  <si>
    <t>PUNB0200600</t>
  </si>
  <si>
    <t>BRAJABHUSHAN SINGH</t>
  </si>
  <si>
    <t>PAKRI</t>
  </si>
  <si>
    <t>6171553648</t>
  </si>
  <si>
    <t>IDIB000P107</t>
  </si>
  <si>
    <t>RAJIB KUMAR SINGH</t>
  </si>
  <si>
    <t>TURKI</t>
  </si>
  <si>
    <t>39011922185</t>
  </si>
  <si>
    <t>SBIN0014282</t>
  </si>
  <si>
    <t>AMAN KUMAR</t>
  </si>
  <si>
    <t>7707026914</t>
  </si>
  <si>
    <t>MD ASRAR</t>
  </si>
  <si>
    <t>36527553621</t>
  </si>
  <si>
    <t>PARSU RAM CHODHRY</t>
  </si>
  <si>
    <t>7781923698</t>
  </si>
  <si>
    <t>MUKESH KUMAR</t>
  </si>
  <si>
    <t>6510838880</t>
  </si>
  <si>
    <t>DHIRAJ KUMAR</t>
  </si>
  <si>
    <t>6442549283</t>
  </si>
  <si>
    <t>SUMAN KUMAR</t>
  </si>
  <si>
    <t>6499008746</t>
  </si>
  <si>
    <t>RAHUL KUMAR</t>
  </si>
  <si>
    <t>UDAYANA NARASING</t>
  </si>
  <si>
    <t>8125995863</t>
  </si>
  <si>
    <t>CHANDRASEKHAR NEYYALA</t>
  </si>
  <si>
    <t>SUSEELA NEYYALA</t>
  </si>
  <si>
    <t>34727624284</t>
  </si>
  <si>
    <t>SBIN0008488</t>
  </si>
  <si>
    <t>MOHAN</t>
  </si>
  <si>
    <t>4999000400052400</t>
  </si>
  <si>
    <t>PRIYRANJAN KUMAR</t>
  </si>
  <si>
    <t>9576358054</t>
  </si>
  <si>
    <t>RAHUL KANNAUJIYA</t>
  </si>
  <si>
    <t>PADRAUNA</t>
  </si>
  <si>
    <t>51008100025149</t>
  </si>
  <si>
    <t>BARB0PADRAU</t>
  </si>
  <si>
    <t>RUDAL CHAUDHARI</t>
  </si>
  <si>
    <t>007001007348</t>
  </si>
  <si>
    <t>W</t>
  </si>
  <si>
    <t>RAKESH PRASAD</t>
  </si>
  <si>
    <t>4999000400017504</t>
  </si>
  <si>
    <t>VINOD</t>
  </si>
  <si>
    <t>007001002699</t>
  </si>
  <si>
    <t>MD SAHZAD ANSARI</t>
  </si>
  <si>
    <t>70260100122968</t>
  </si>
  <si>
    <t>OMPRAKASH YADAY</t>
  </si>
  <si>
    <t>ZIRADEI</t>
  </si>
  <si>
    <t>3362101003208</t>
  </si>
  <si>
    <t>CNRB0003362</t>
  </si>
  <si>
    <t>SANTOSH KUMAR</t>
  </si>
  <si>
    <t>007001007349</t>
  </si>
  <si>
    <t>DHOBA PRADHAN</t>
  </si>
  <si>
    <t>JARADA</t>
  </si>
  <si>
    <t>515410310000169</t>
  </si>
  <si>
    <t>BKID0005154</t>
  </si>
  <si>
    <t>M SAIFUR RAHMAN</t>
  </si>
  <si>
    <t>4999000400022852</t>
  </si>
  <si>
    <t>K JAYALAKSHMI</t>
  </si>
  <si>
    <t>7722500103613401</t>
  </si>
  <si>
    <t>COOK</t>
  </si>
  <si>
    <t>SYIRAM NAIK</t>
  </si>
  <si>
    <t>007001001168</t>
  </si>
  <si>
    <t>WM</t>
  </si>
  <si>
    <t>MALLI SUMAN</t>
  </si>
  <si>
    <t>007001005268</t>
  </si>
  <si>
    <t>CHANDAN KUMAR YADAV</t>
  </si>
  <si>
    <t>GUTHNI</t>
  </si>
  <si>
    <t>20476078908</t>
  </si>
  <si>
    <t>SBIN0018551</t>
  </si>
  <si>
    <t>BAYIRI BEHERA</t>
  </si>
  <si>
    <t>30762082609</t>
  </si>
  <si>
    <t>SBIN0000964</t>
  </si>
  <si>
    <t>SURENDRA PRADHAN</t>
  </si>
  <si>
    <t>RAUSHAN KUMAR</t>
  </si>
  <si>
    <t>20260581040</t>
  </si>
  <si>
    <t>FINO0009002</t>
  </si>
  <si>
    <t>SHIW</t>
  </si>
  <si>
    <t>SATYAM KUMAR</t>
  </si>
  <si>
    <t>DHONURJOYOBEHERA PONDORA</t>
  </si>
  <si>
    <t>AKLESH KUMAR</t>
  </si>
  <si>
    <t>GRAND TOTAL</t>
  </si>
  <si>
    <t>PAYMENT SHEET FOR THE MONTH OF JULY-2025</t>
  </si>
  <si>
    <t>RAIKA JITTHU</t>
  </si>
  <si>
    <t>RAIKA CHANDANA</t>
  </si>
  <si>
    <t>RAIKA DUDISTI</t>
  </si>
  <si>
    <t>SANTOSH KUMAR SINGH</t>
  </si>
  <si>
    <t>KRUSHNA DONDIYA</t>
  </si>
  <si>
    <t>SUSHANTH KUMAR NAYAK</t>
  </si>
  <si>
    <t>PAYMENT SHEET FOR THE MONTH OF AUGUST-2025</t>
  </si>
  <si>
    <t>UDAYANA BHAVANI SHANKAR</t>
  </si>
</sst>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vertical="center" wrapText="1"/>
    </xf>
    <xf numFmtId="164" fontId="5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/>
    <xf numFmtId="0" fontId="0" fillId="0" borderId="1" xfId="0" applyFill="1" applyBorder="1"/>
    <xf numFmtId="164" fontId="0" fillId="0" borderId="1" xfId="0" applyNumberFormat="1" applyFont="1" applyFill="1" applyBorder="1"/>
    <xf numFmtId="0" fontId="4" fillId="0" borderId="1" xfId="0" applyFont="1" applyFill="1" applyBorder="1"/>
    <xf numFmtId="0" fontId="6" fillId="0" borderId="1" xfId="0" quotePrefix="1" applyFont="1" applyFill="1" applyBorder="1" applyAlignment="1"/>
    <xf numFmtId="0" fontId="3" fillId="0" borderId="1" xfId="0" applyFont="1" applyFill="1" applyBorder="1"/>
    <xf numFmtId="0" fontId="2" fillId="0" borderId="1" xfId="0" applyFont="1" applyFill="1" applyBorder="1"/>
    <xf numFmtId="164" fontId="3" fillId="0" borderId="1" xfId="0" applyNumberFormat="1" applyFont="1" applyFill="1" applyBorder="1"/>
    <xf numFmtId="0" fontId="0" fillId="2" borderId="0" xfId="0" applyFill="1"/>
    <xf numFmtId="164" fontId="0" fillId="0" borderId="0" xfId="0" applyNumberFormat="1"/>
    <xf numFmtId="0" fontId="0" fillId="0" borderId="1" xfId="0" applyFont="1" applyBorder="1"/>
    <xf numFmtId="164" fontId="0" fillId="0" borderId="1" xfId="0" applyNumberFormat="1" applyFill="1" applyBorder="1"/>
    <xf numFmtId="165" fontId="0" fillId="0" borderId="1" xfId="0" applyNumberFormat="1" applyFont="1" applyFill="1" applyBorder="1"/>
    <xf numFmtId="0" fontId="3" fillId="0" borderId="0" xfId="0" applyFont="1" applyFill="1"/>
    <xf numFmtId="0" fontId="0" fillId="0" borderId="1" xfId="0" quotePrefix="1" applyFill="1" applyBorder="1"/>
    <xf numFmtId="0" fontId="0" fillId="0" borderId="1" xfId="0" applyBorder="1"/>
    <xf numFmtId="0" fontId="0" fillId="0" borderId="0" xfId="0" applyFill="1" applyBorder="1"/>
    <xf numFmtId="1" fontId="7" fillId="3" borderId="1" xfId="0" quotePrefix="1" applyNumberFormat="1" applyFont="1" applyFill="1" applyBorder="1" applyAlignment="1">
      <alignment horizontal="left"/>
    </xf>
    <xf numFmtId="0" fontId="0" fillId="4" borderId="0" xfId="0" applyFill="1"/>
    <xf numFmtId="164" fontId="4" fillId="0" borderId="1" xfId="0" applyNumberFormat="1" applyFont="1" applyFill="1" applyBorder="1"/>
    <xf numFmtId="0" fontId="0" fillId="4" borderId="1" xfId="0" applyFont="1" applyFill="1" applyBorder="1"/>
    <xf numFmtId="0" fontId="4" fillId="4" borderId="1" xfId="0" applyFont="1" applyFill="1" applyBorder="1"/>
  </cellXfs>
  <cellStyles count="3">
    <cellStyle name="Comma 2" xfId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thers\SASEC%20-%20S&amp;S%20Documents\SASEC%20Eng%20Pvt%20Ltd\pf%20doc\PAYMENT%20SHEET\PAYMENT%20SHEET%202026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thers\SASEC%20-%20S&amp;S%20Documents\SASEC%20Eng%20Pvt%20Ltd\pf%20doc\PAYMENT%20SHEET\PAYMENT%20SHEET%202025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.26"/>
      <sheetName val="May.26"/>
    </sheetNames>
    <sheetDataSet>
      <sheetData sheetId="0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30</v>
          </cell>
          <cell r="K5">
            <v>0</v>
          </cell>
          <cell r="L5">
            <v>63499.999999999993</v>
          </cell>
          <cell r="M5">
            <v>0</v>
          </cell>
          <cell r="N5">
            <v>0</v>
          </cell>
          <cell r="O5">
            <v>63499.999999999993</v>
          </cell>
          <cell r="Q5">
            <v>0</v>
          </cell>
          <cell r="R5">
            <v>0</v>
          </cell>
          <cell r="S5">
            <v>63500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C6" t="str">
            <v>CHANDRA SEKHAR SHARE PUPPALA</v>
          </cell>
          <cell r="D6" t="str">
            <v>ICICI</v>
          </cell>
          <cell r="E6" t="str">
            <v>SECUNDERABAD</v>
          </cell>
          <cell r="F6">
            <v>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30</v>
          </cell>
          <cell r="K6">
            <v>0</v>
          </cell>
          <cell r="L6">
            <v>63499.999999999993</v>
          </cell>
          <cell r="M6">
            <v>0</v>
          </cell>
          <cell r="N6">
            <v>0</v>
          </cell>
          <cell r="O6">
            <v>63499.999999999993</v>
          </cell>
          <cell r="Q6">
            <v>0</v>
          </cell>
          <cell r="R6">
            <v>0</v>
          </cell>
          <cell r="S6">
            <v>63500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29</v>
          </cell>
          <cell r="K7">
            <v>0</v>
          </cell>
          <cell r="L7">
            <v>35670</v>
          </cell>
          <cell r="M7">
            <v>0</v>
          </cell>
          <cell r="N7">
            <v>1950</v>
          </cell>
          <cell r="O7">
            <v>37620</v>
          </cell>
          <cell r="Q7">
            <v>0</v>
          </cell>
          <cell r="R7">
            <v>6000</v>
          </cell>
          <cell r="S7">
            <v>31620</v>
          </cell>
          <cell r="U7">
            <v>2000</v>
          </cell>
          <cell r="V7">
            <v>0</v>
          </cell>
          <cell r="W7">
            <v>4000</v>
          </cell>
          <cell r="X7">
            <v>0</v>
          </cell>
        </row>
        <row r="8"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28</v>
          </cell>
          <cell r="K8">
            <v>0</v>
          </cell>
          <cell r="L8">
            <v>49000</v>
          </cell>
          <cell r="M8">
            <v>0</v>
          </cell>
          <cell r="N8">
            <v>1900</v>
          </cell>
          <cell r="O8">
            <v>50900</v>
          </cell>
          <cell r="Q8">
            <v>0</v>
          </cell>
          <cell r="R8">
            <v>0</v>
          </cell>
          <cell r="S8">
            <v>50900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29</v>
          </cell>
          <cell r="K9">
            <v>0</v>
          </cell>
          <cell r="L9">
            <v>29241.666666666668</v>
          </cell>
          <cell r="M9">
            <v>0</v>
          </cell>
          <cell r="N9">
            <v>3250</v>
          </cell>
          <cell r="O9">
            <v>32491.666666666668</v>
          </cell>
          <cell r="Q9">
            <v>0</v>
          </cell>
          <cell r="R9">
            <v>6000</v>
          </cell>
          <cell r="S9">
            <v>26492</v>
          </cell>
          <cell r="U9">
            <v>2000</v>
          </cell>
          <cell r="V9">
            <v>0</v>
          </cell>
          <cell r="W9">
            <v>4000</v>
          </cell>
          <cell r="X9">
            <v>0</v>
          </cell>
        </row>
        <row r="10"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23</v>
          </cell>
          <cell r="K10">
            <v>0</v>
          </cell>
          <cell r="L10">
            <v>39100</v>
          </cell>
          <cell r="M10">
            <v>0</v>
          </cell>
          <cell r="N10">
            <v>1650</v>
          </cell>
          <cell r="O10">
            <v>40750</v>
          </cell>
          <cell r="Q10">
            <v>0</v>
          </cell>
          <cell r="R10">
            <v>8000</v>
          </cell>
          <cell r="S10">
            <v>32750</v>
          </cell>
          <cell r="U10">
            <v>4000</v>
          </cell>
          <cell r="V10">
            <v>0</v>
          </cell>
          <cell r="W10">
            <v>4000</v>
          </cell>
          <cell r="X10">
            <v>0</v>
          </cell>
        </row>
        <row r="11"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30</v>
          </cell>
          <cell r="K11">
            <v>0</v>
          </cell>
          <cell r="L11">
            <v>38500</v>
          </cell>
          <cell r="M11">
            <v>0</v>
          </cell>
          <cell r="N11">
            <v>3500</v>
          </cell>
          <cell r="O11">
            <v>42000</v>
          </cell>
          <cell r="Q11">
            <v>0</v>
          </cell>
          <cell r="R11">
            <v>0</v>
          </cell>
          <cell r="S11">
            <v>42000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24</v>
          </cell>
          <cell r="K12">
            <v>0</v>
          </cell>
          <cell r="L12">
            <v>37200</v>
          </cell>
          <cell r="M12">
            <v>0</v>
          </cell>
          <cell r="N12">
            <v>6200</v>
          </cell>
          <cell r="O12">
            <v>43400</v>
          </cell>
          <cell r="Q12">
            <v>0</v>
          </cell>
          <cell r="R12">
            <v>20000</v>
          </cell>
          <cell r="S12">
            <v>23400</v>
          </cell>
          <cell r="U12">
            <v>4000</v>
          </cell>
          <cell r="V12">
            <v>6000</v>
          </cell>
          <cell r="W12">
            <v>8000</v>
          </cell>
          <cell r="X12">
            <v>2000</v>
          </cell>
        </row>
        <row r="13"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30</v>
          </cell>
          <cell r="K13">
            <v>65</v>
          </cell>
          <cell r="L13">
            <v>25500</v>
          </cell>
          <cell r="M13">
            <v>4456</v>
          </cell>
          <cell r="N13">
            <v>3900</v>
          </cell>
          <cell r="O13">
            <v>33856</v>
          </cell>
          <cell r="Q13">
            <v>0</v>
          </cell>
          <cell r="R13">
            <v>22000</v>
          </cell>
          <cell r="S13">
            <v>11856</v>
          </cell>
          <cell r="U13">
            <v>6000</v>
          </cell>
          <cell r="V13">
            <v>0</v>
          </cell>
          <cell r="W13">
            <v>6000</v>
          </cell>
          <cell r="X13">
            <v>10000</v>
          </cell>
        </row>
        <row r="14"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25</v>
          </cell>
          <cell r="K14">
            <v>0</v>
          </cell>
          <cell r="L14">
            <v>26666.666666666668</v>
          </cell>
          <cell r="M14">
            <v>0</v>
          </cell>
          <cell r="N14">
            <v>2100</v>
          </cell>
          <cell r="O14">
            <v>28766.666666666668</v>
          </cell>
          <cell r="Q14">
            <v>0</v>
          </cell>
          <cell r="R14">
            <v>16000</v>
          </cell>
          <cell r="S14">
            <v>12767</v>
          </cell>
          <cell r="U14">
            <v>2000</v>
          </cell>
          <cell r="V14">
            <v>10000</v>
          </cell>
          <cell r="W14">
            <v>4000</v>
          </cell>
          <cell r="X14">
            <v>0</v>
          </cell>
        </row>
        <row r="15"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24</v>
          </cell>
          <cell r="K15">
            <v>0</v>
          </cell>
          <cell r="L15">
            <v>31840</v>
          </cell>
          <cell r="M15">
            <v>0</v>
          </cell>
          <cell r="N15">
            <v>1700</v>
          </cell>
          <cell r="O15">
            <v>33540</v>
          </cell>
          <cell r="Q15">
            <v>0</v>
          </cell>
          <cell r="R15">
            <v>31000</v>
          </cell>
          <cell r="S15">
            <v>2540</v>
          </cell>
          <cell r="U15">
            <v>4000</v>
          </cell>
          <cell r="V15">
            <v>2000</v>
          </cell>
          <cell r="W15">
            <v>9000</v>
          </cell>
          <cell r="X15">
            <v>16000</v>
          </cell>
        </row>
        <row r="16"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29</v>
          </cell>
          <cell r="K16">
            <v>0</v>
          </cell>
          <cell r="L16">
            <v>34800</v>
          </cell>
          <cell r="M16">
            <v>0</v>
          </cell>
          <cell r="N16">
            <v>1750</v>
          </cell>
          <cell r="O16">
            <v>36550</v>
          </cell>
          <cell r="Q16">
            <v>0</v>
          </cell>
          <cell r="R16">
            <v>6000</v>
          </cell>
          <cell r="S16">
            <v>30550</v>
          </cell>
          <cell r="U16">
            <v>2000</v>
          </cell>
          <cell r="V16">
            <v>0</v>
          </cell>
          <cell r="W16">
            <v>4000</v>
          </cell>
          <cell r="X16">
            <v>0</v>
          </cell>
        </row>
        <row r="17"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21</v>
          </cell>
          <cell r="K17">
            <v>0</v>
          </cell>
          <cell r="L17">
            <v>33600</v>
          </cell>
          <cell r="M17">
            <v>0</v>
          </cell>
          <cell r="N17">
            <v>2400</v>
          </cell>
          <cell r="O17">
            <v>36000</v>
          </cell>
          <cell r="Q17">
            <v>0</v>
          </cell>
          <cell r="R17">
            <v>6000</v>
          </cell>
          <cell r="S17">
            <v>30000</v>
          </cell>
          <cell r="U17">
            <v>2000</v>
          </cell>
          <cell r="V17">
            <v>0</v>
          </cell>
          <cell r="W17">
            <v>4000</v>
          </cell>
          <cell r="X17">
            <v>0</v>
          </cell>
        </row>
        <row r="18"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18</v>
          </cell>
          <cell r="K18">
            <v>0</v>
          </cell>
          <cell r="L18">
            <v>22500</v>
          </cell>
          <cell r="M18">
            <v>0</v>
          </cell>
          <cell r="N18">
            <v>3400</v>
          </cell>
          <cell r="O18">
            <v>25900</v>
          </cell>
          <cell r="Q18">
            <v>0</v>
          </cell>
          <cell r="R18">
            <v>1000</v>
          </cell>
          <cell r="S18">
            <v>24900</v>
          </cell>
          <cell r="U18">
            <v>0</v>
          </cell>
          <cell r="V18">
            <v>0</v>
          </cell>
          <cell r="W18">
            <v>1000</v>
          </cell>
          <cell r="X18">
            <v>0</v>
          </cell>
        </row>
        <row r="19"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28</v>
          </cell>
          <cell r="K19">
            <v>0</v>
          </cell>
          <cell r="L19">
            <v>29400</v>
          </cell>
          <cell r="M19">
            <v>0</v>
          </cell>
          <cell r="N19">
            <v>2800</v>
          </cell>
          <cell r="O19">
            <v>32200</v>
          </cell>
          <cell r="Q19">
            <v>0</v>
          </cell>
          <cell r="R19">
            <v>9000</v>
          </cell>
          <cell r="S19">
            <v>23200</v>
          </cell>
          <cell r="U19">
            <v>2000</v>
          </cell>
          <cell r="V19">
            <v>0</v>
          </cell>
          <cell r="W19">
            <v>4000</v>
          </cell>
          <cell r="X19">
            <v>3000</v>
          </cell>
        </row>
        <row r="20"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25</v>
          </cell>
          <cell r="K20">
            <v>0</v>
          </cell>
          <cell r="L20">
            <v>30000</v>
          </cell>
          <cell r="M20">
            <v>0</v>
          </cell>
          <cell r="N20">
            <v>1750</v>
          </cell>
          <cell r="O20">
            <v>31750</v>
          </cell>
          <cell r="Q20">
            <v>0</v>
          </cell>
          <cell r="R20">
            <v>6000</v>
          </cell>
          <cell r="S20">
            <v>25750</v>
          </cell>
          <cell r="U20">
            <v>2000</v>
          </cell>
          <cell r="V20">
            <v>0</v>
          </cell>
          <cell r="W20">
            <v>4000</v>
          </cell>
          <cell r="X20">
            <v>0</v>
          </cell>
        </row>
        <row r="21"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27</v>
          </cell>
          <cell r="K21">
            <v>0</v>
          </cell>
          <cell r="L21">
            <v>32400</v>
          </cell>
          <cell r="M21">
            <v>0</v>
          </cell>
          <cell r="N21">
            <v>1650</v>
          </cell>
          <cell r="O21">
            <v>34050</v>
          </cell>
          <cell r="Q21">
            <v>0</v>
          </cell>
          <cell r="R21">
            <v>13000</v>
          </cell>
          <cell r="S21">
            <v>21050</v>
          </cell>
          <cell r="U21">
            <v>2000</v>
          </cell>
          <cell r="V21">
            <v>5000</v>
          </cell>
          <cell r="W21">
            <v>6000</v>
          </cell>
          <cell r="X21">
            <v>0</v>
          </cell>
        </row>
        <row r="22"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29</v>
          </cell>
          <cell r="K22">
            <v>0</v>
          </cell>
          <cell r="L22">
            <v>30450</v>
          </cell>
          <cell r="M22">
            <v>0</v>
          </cell>
          <cell r="N22">
            <v>1750</v>
          </cell>
          <cell r="O22">
            <v>32200</v>
          </cell>
          <cell r="Q22">
            <v>0</v>
          </cell>
          <cell r="R22">
            <v>6000</v>
          </cell>
          <cell r="S22">
            <v>26200</v>
          </cell>
          <cell r="U22">
            <v>2000</v>
          </cell>
          <cell r="V22">
            <v>0</v>
          </cell>
          <cell r="W22">
            <v>4000</v>
          </cell>
          <cell r="X22">
            <v>0</v>
          </cell>
        </row>
        <row r="23"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33500</v>
          </cell>
          <cell r="J23">
            <v>30</v>
          </cell>
          <cell r="K23">
            <v>0</v>
          </cell>
          <cell r="L23">
            <v>33500</v>
          </cell>
          <cell r="M23">
            <v>0</v>
          </cell>
          <cell r="N23">
            <v>1900</v>
          </cell>
          <cell r="O23">
            <v>35400</v>
          </cell>
          <cell r="Q23">
            <v>0</v>
          </cell>
          <cell r="R23">
            <v>9000</v>
          </cell>
          <cell r="S23">
            <v>26400</v>
          </cell>
          <cell r="U23">
            <v>2000</v>
          </cell>
          <cell r="V23">
            <v>0</v>
          </cell>
          <cell r="W23">
            <v>4000</v>
          </cell>
          <cell r="X23">
            <v>3000</v>
          </cell>
        </row>
        <row r="24"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30</v>
          </cell>
          <cell r="K24">
            <v>0</v>
          </cell>
          <cell r="L24">
            <v>10000</v>
          </cell>
          <cell r="M24">
            <v>0</v>
          </cell>
          <cell r="N24">
            <v>0</v>
          </cell>
          <cell r="O24">
            <v>10000</v>
          </cell>
          <cell r="R24">
            <v>0</v>
          </cell>
          <cell r="S24">
            <v>10000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32500</v>
          </cell>
          <cell r="J25">
            <v>30</v>
          </cell>
          <cell r="K25">
            <v>0</v>
          </cell>
          <cell r="L25">
            <v>32499.999999999996</v>
          </cell>
          <cell r="M25">
            <v>0</v>
          </cell>
          <cell r="N25">
            <v>3400</v>
          </cell>
          <cell r="O25">
            <v>35900</v>
          </cell>
          <cell r="Q25">
            <v>0</v>
          </cell>
          <cell r="R25">
            <v>29000</v>
          </cell>
          <cell r="S25">
            <v>6900</v>
          </cell>
          <cell r="U25">
            <v>5000</v>
          </cell>
          <cell r="V25">
            <v>15000</v>
          </cell>
          <cell r="W25">
            <v>4000</v>
          </cell>
          <cell r="X25">
            <v>5000</v>
          </cell>
        </row>
        <row r="26"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900</v>
          </cell>
          <cell r="O26">
            <v>900</v>
          </cell>
          <cell r="Q26">
            <v>0</v>
          </cell>
          <cell r="R26">
            <v>0</v>
          </cell>
          <cell r="S26">
            <v>900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12</v>
          </cell>
          <cell r="K27">
            <v>0</v>
          </cell>
          <cell r="L27">
            <v>11920</v>
          </cell>
          <cell r="M27">
            <v>0</v>
          </cell>
          <cell r="N27">
            <v>1200</v>
          </cell>
          <cell r="O27">
            <v>13120</v>
          </cell>
          <cell r="Q27">
            <v>0</v>
          </cell>
          <cell r="R27">
            <v>24000</v>
          </cell>
          <cell r="S27">
            <v>-10880</v>
          </cell>
          <cell r="U27">
            <v>0</v>
          </cell>
          <cell r="V27">
            <v>22000</v>
          </cell>
          <cell r="W27">
            <v>2000</v>
          </cell>
          <cell r="X27">
            <v>0</v>
          </cell>
        </row>
        <row r="28"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53000</v>
          </cell>
          <cell r="J28">
            <v>30</v>
          </cell>
          <cell r="K28">
            <v>0</v>
          </cell>
          <cell r="L28">
            <v>53000</v>
          </cell>
          <cell r="M28">
            <v>0</v>
          </cell>
          <cell r="N28">
            <v>0</v>
          </cell>
          <cell r="O28">
            <v>53000</v>
          </cell>
          <cell r="Q28">
            <v>0</v>
          </cell>
          <cell r="R28">
            <v>11000</v>
          </cell>
          <cell r="S28">
            <v>42000</v>
          </cell>
          <cell r="U28">
            <v>2000</v>
          </cell>
          <cell r="V28">
            <v>0</v>
          </cell>
          <cell r="W28">
            <v>4000</v>
          </cell>
          <cell r="X28">
            <v>5000</v>
          </cell>
        </row>
        <row r="29"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27</v>
          </cell>
          <cell r="K29">
            <v>27</v>
          </cell>
          <cell r="L29">
            <v>22500</v>
          </cell>
          <cell r="M29">
            <v>1815</v>
          </cell>
          <cell r="N29">
            <v>2700</v>
          </cell>
          <cell r="O29">
            <v>27015</v>
          </cell>
          <cell r="R29">
            <v>19000</v>
          </cell>
          <cell r="S29">
            <v>8015</v>
          </cell>
          <cell r="U29">
            <v>3000</v>
          </cell>
          <cell r="V29">
            <v>0</v>
          </cell>
          <cell r="W29">
            <v>6000</v>
          </cell>
          <cell r="X29">
            <v>10000</v>
          </cell>
        </row>
        <row r="30"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30</v>
          </cell>
          <cell r="K30">
            <v>0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  <cell r="Q30">
            <v>0</v>
          </cell>
          <cell r="R30">
            <v>0</v>
          </cell>
          <cell r="S30">
            <v>7000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27</v>
          </cell>
          <cell r="K31">
            <v>24</v>
          </cell>
          <cell r="L31">
            <v>22950</v>
          </cell>
          <cell r="M31">
            <v>1645</v>
          </cell>
          <cell r="N31">
            <v>4350</v>
          </cell>
          <cell r="O31">
            <v>28945</v>
          </cell>
          <cell r="R31">
            <v>26700</v>
          </cell>
          <cell r="S31">
            <v>2245</v>
          </cell>
          <cell r="U31">
            <v>2000</v>
          </cell>
          <cell r="V31">
            <v>8700</v>
          </cell>
          <cell r="W31">
            <v>5000</v>
          </cell>
          <cell r="X31">
            <v>11000</v>
          </cell>
        </row>
        <row r="32"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30000</v>
          </cell>
          <cell r="J32">
            <v>18</v>
          </cell>
          <cell r="K32">
            <v>12</v>
          </cell>
          <cell r="L32">
            <v>18000</v>
          </cell>
          <cell r="M32">
            <v>968</v>
          </cell>
          <cell r="N32">
            <v>0</v>
          </cell>
          <cell r="O32">
            <v>18968</v>
          </cell>
          <cell r="P32">
            <v>0</v>
          </cell>
          <cell r="Q32">
            <v>0</v>
          </cell>
          <cell r="R32">
            <v>15000</v>
          </cell>
          <cell r="S32">
            <v>3968</v>
          </cell>
          <cell r="U32">
            <v>3000</v>
          </cell>
          <cell r="V32">
            <v>6000</v>
          </cell>
          <cell r="W32">
            <v>1000</v>
          </cell>
          <cell r="X32">
            <v>5000</v>
          </cell>
        </row>
        <row r="33"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29000</v>
          </cell>
          <cell r="J33">
            <v>30</v>
          </cell>
          <cell r="K33">
            <v>2</v>
          </cell>
          <cell r="L33">
            <v>29000</v>
          </cell>
          <cell r="M33">
            <v>156</v>
          </cell>
          <cell r="N33">
            <v>1500</v>
          </cell>
          <cell r="O33">
            <v>30656</v>
          </cell>
          <cell r="P33">
            <v>0</v>
          </cell>
          <cell r="Q33">
            <v>0</v>
          </cell>
          <cell r="R33">
            <v>28000</v>
          </cell>
          <cell r="S33">
            <v>2656</v>
          </cell>
          <cell r="U33">
            <v>4000</v>
          </cell>
          <cell r="V33">
            <v>5000</v>
          </cell>
          <cell r="W33">
            <v>4000</v>
          </cell>
          <cell r="X33">
            <v>15000</v>
          </cell>
        </row>
        <row r="34"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30000</v>
          </cell>
          <cell r="J34">
            <v>28</v>
          </cell>
          <cell r="K34">
            <v>0</v>
          </cell>
          <cell r="L34">
            <v>28000</v>
          </cell>
          <cell r="M34">
            <v>0</v>
          </cell>
          <cell r="N34">
            <v>2100</v>
          </cell>
          <cell r="O34">
            <v>30100</v>
          </cell>
          <cell r="P34">
            <v>0</v>
          </cell>
          <cell r="Q34">
            <v>0</v>
          </cell>
          <cell r="R34">
            <v>8000</v>
          </cell>
          <cell r="S34">
            <v>22100</v>
          </cell>
          <cell r="U34">
            <v>4000</v>
          </cell>
          <cell r="V34">
            <v>0</v>
          </cell>
          <cell r="W34">
            <v>4000</v>
          </cell>
          <cell r="X34">
            <v>0</v>
          </cell>
        </row>
        <row r="35"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24500</v>
          </cell>
          <cell r="J36">
            <v>26</v>
          </cell>
          <cell r="K36">
            <v>12</v>
          </cell>
          <cell r="L36">
            <v>21233.333333333332</v>
          </cell>
          <cell r="M36">
            <v>790</v>
          </cell>
          <cell r="N36">
            <v>2000</v>
          </cell>
          <cell r="O36">
            <v>24023.333333333332</v>
          </cell>
          <cell r="P36">
            <v>0</v>
          </cell>
          <cell r="Q36">
            <v>0</v>
          </cell>
          <cell r="R36">
            <v>22000</v>
          </cell>
          <cell r="S36">
            <v>2023</v>
          </cell>
          <cell r="U36">
            <v>5000</v>
          </cell>
          <cell r="V36">
            <v>3000</v>
          </cell>
          <cell r="W36">
            <v>3000</v>
          </cell>
          <cell r="X36">
            <v>11000</v>
          </cell>
        </row>
        <row r="37"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540</v>
          </cell>
          <cell r="J37">
            <v>25</v>
          </cell>
          <cell r="K37">
            <v>96</v>
          </cell>
          <cell r="L37">
            <v>13500</v>
          </cell>
          <cell r="M37">
            <v>12960</v>
          </cell>
          <cell r="N37">
            <v>600</v>
          </cell>
          <cell r="O37">
            <v>27060</v>
          </cell>
          <cell r="Q37">
            <v>0</v>
          </cell>
          <cell r="R37">
            <v>18500</v>
          </cell>
          <cell r="S37">
            <v>8560</v>
          </cell>
          <cell r="U37">
            <v>4000</v>
          </cell>
          <cell r="V37">
            <v>5000</v>
          </cell>
          <cell r="W37">
            <v>4500</v>
          </cell>
          <cell r="X37">
            <v>5000</v>
          </cell>
        </row>
        <row r="38"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460</v>
          </cell>
          <cell r="J38">
            <v>2</v>
          </cell>
          <cell r="K38">
            <v>6</v>
          </cell>
          <cell r="L38">
            <v>920</v>
          </cell>
          <cell r="M38">
            <v>690</v>
          </cell>
          <cell r="N38">
            <v>0</v>
          </cell>
          <cell r="O38">
            <v>1610</v>
          </cell>
          <cell r="P38">
            <v>0</v>
          </cell>
          <cell r="Q38">
            <v>0</v>
          </cell>
          <cell r="R38">
            <v>1000</v>
          </cell>
          <cell r="S38">
            <v>610</v>
          </cell>
          <cell r="U38">
            <v>1000</v>
          </cell>
          <cell r="V38">
            <v>0</v>
          </cell>
          <cell r="W38">
            <v>0</v>
          </cell>
          <cell r="X38">
            <v>0</v>
          </cell>
        </row>
        <row r="39"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25000</v>
          </cell>
          <cell r="J40">
            <v>30</v>
          </cell>
          <cell r="K40">
            <v>0</v>
          </cell>
          <cell r="L40">
            <v>25000</v>
          </cell>
          <cell r="M40">
            <v>0</v>
          </cell>
          <cell r="N40">
            <v>0</v>
          </cell>
          <cell r="O40">
            <v>25000</v>
          </cell>
          <cell r="P40">
            <v>0</v>
          </cell>
          <cell r="Q40">
            <v>0</v>
          </cell>
          <cell r="R40">
            <v>9000</v>
          </cell>
          <cell r="S40">
            <v>16000</v>
          </cell>
          <cell r="U40">
            <v>4000</v>
          </cell>
          <cell r="V40">
            <v>0</v>
          </cell>
          <cell r="W40">
            <v>5000</v>
          </cell>
          <cell r="X40">
            <v>0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30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  <cell r="P41">
            <v>0</v>
          </cell>
          <cell r="Q41">
            <v>0</v>
          </cell>
          <cell r="R41">
            <v>0</v>
          </cell>
          <cell r="S41">
            <v>6000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30</v>
          </cell>
          <cell r="K43">
            <v>85</v>
          </cell>
          <cell r="L43">
            <v>21000</v>
          </cell>
          <cell r="M43">
            <v>4798</v>
          </cell>
          <cell r="N43">
            <v>0</v>
          </cell>
          <cell r="O43">
            <v>25798</v>
          </cell>
          <cell r="P43">
            <v>0</v>
          </cell>
          <cell r="Q43">
            <v>0</v>
          </cell>
          <cell r="R43">
            <v>8000</v>
          </cell>
          <cell r="S43">
            <v>17798</v>
          </cell>
          <cell r="U43">
            <v>4000</v>
          </cell>
          <cell r="V43">
            <v>0</v>
          </cell>
          <cell r="W43">
            <v>4000</v>
          </cell>
          <cell r="X43">
            <v>0</v>
          </cell>
        </row>
        <row r="44"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21000</v>
          </cell>
          <cell r="J44">
            <v>29</v>
          </cell>
          <cell r="K44">
            <v>12</v>
          </cell>
          <cell r="L44">
            <v>20300</v>
          </cell>
          <cell r="M44">
            <v>677</v>
          </cell>
          <cell r="N44">
            <v>0</v>
          </cell>
          <cell r="O44">
            <v>20977</v>
          </cell>
          <cell r="P44">
            <v>0</v>
          </cell>
          <cell r="Q44">
            <v>0</v>
          </cell>
          <cell r="R44">
            <v>18000</v>
          </cell>
          <cell r="S44">
            <v>2977</v>
          </cell>
          <cell r="U44">
            <v>4000</v>
          </cell>
          <cell r="V44">
            <v>10000</v>
          </cell>
          <cell r="W44">
            <v>4000</v>
          </cell>
          <cell r="X44">
            <v>0</v>
          </cell>
        </row>
        <row r="45"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450</v>
          </cell>
          <cell r="J45">
            <v>26</v>
          </cell>
          <cell r="K45">
            <v>92</v>
          </cell>
          <cell r="L45">
            <v>11700</v>
          </cell>
          <cell r="M45">
            <v>10350</v>
          </cell>
          <cell r="N45">
            <v>0</v>
          </cell>
          <cell r="O45">
            <v>22050</v>
          </cell>
          <cell r="P45">
            <v>0</v>
          </cell>
          <cell r="Q45">
            <v>0</v>
          </cell>
          <cell r="R45">
            <v>9900</v>
          </cell>
          <cell r="S45">
            <v>12150</v>
          </cell>
          <cell r="U45">
            <v>4100</v>
          </cell>
          <cell r="V45">
            <v>0</v>
          </cell>
          <cell r="W45">
            <v>2800</v>
          </cell>
          <cell r="X45">
            <v>3000</v>
          </cell>
        </row>
        <row r="46"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410</v>
          </cell>
          <cell r="J47">
            <v>30</v>
          </cell>
          <cell r="K47">
            <v>176</v>
          </cell>
          <cell r="L47">
            <v>12300</v>
          </cell>
          <cell r="M47">
            <v>18040</v>
          </cell>
          <cell r="N47">
            <v>0</v>
          </cell>
          <cell r="O47">
            <v>30340</v>
          </cell>
          <cell r="P47">
            <v>0</v>
          </cell>
          <cell r="Q47">
            <v>0</v>
          </cell>
          <cell r="R47">
            <v>5900</v>
          </cell>
          <cell r="S47">
            <v>24440</v>
          </cell>
          <cell r="U47">
            <v>2800</v>
          </cell>
          <cell r="V47">
            <v>0</v>
          </cell>
          <cell r="W47">
            <v>3100</v>
          </cell>
          <cell r="X47">
            <v>0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19000</v>
          </cell>
          <cell r="J48">
            <v>29</v>
          </cell>
          <cell r="K48">
            <v>12</v>
          </cell>
          <cell r="L48">
            <v>18366.666666666668</v>
          </cell>
          <cell r="M48">
            <v>613</v>
          </cell>
          <cell r="N48">
            <v>0</v>
          </cell>
          <cell r="O48">
            <v>18979.666666666668</v>
          </cell>
          <cell r="P48">
            <v>0</v>
          </cell>
          <cell r="Q48">
            <v>0</v>
          </cell>
          <cell r="R48">
            <v>9000</v>
          </cell>
          <cell r="S48">
            <v>9980</v>
          </cell>
          <cell r="U48">
            <v>4500</v>
          </cell>
          <cell r="V48">
            <v>0</v>
          </cell>
          <cell r="W48">
            <v>4500</v>
          </cell>
          <cell r="X48">
            <v>0</v>
          </cell>
        </row>
        <row r="49"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31000</v>
          </cell>
          <cell r="J50">
            <v>28</v>
          </cell>
          <cell r="K50">
            <v>24</v>
          </cell>
          <cell r="L50">
            <v>28933.333333333332</v>
          </cell>
          <cell r="M50">
            <v>2000</v>
          </cell>
          <cell r="N50">
            <v>1500</v>
          </cell>
          <cell r="O50">
            <v>32433.333333333332</v>
          </cell>
          <cell r="Q50">
            <v>0</v>
          </cell>
          <cell r="R50">
            <v>15400</v>
          </cell>
          <cell r="S50">
            <v>17033</v>
          </cell>
          <cell r="U50">
            <v>3700</v>
          </cell>
          <cell r="V50">
            <v>5000</v>
          </cell>
          <cell r="W50">
            <v>3700</v>
          </cell>
          <cell r="X50">
            <v>3000</v>
          </cell>
        </row>
        <row r="51"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25000</v>
          </cell>
          <cell r="J52">
            <v>29</v>
          </cell>
          <cell r="K52">
            <v>31</v>
          </cell>
          <cell r="L52">
            <v>24166.666666666668</v>
          </cell>
          <cell r="M52">
            <v>2083</v>
          </cell>
          <cell r="N52">
            <v>0</v>
          </cell>
          <cell r="O52">
            <v>26249.666666666668</v>
          </cell>
          <cell r="P52">
            <v>0</v>
          </cell>
          <cell r="Q52">
            <v>0</v>
          </cell>
          <cell r="R52">
            <v>17100</v>
          </cell>
          <cell r="S52">
            <v>9150</v>
          </cell>
          <cell r="U52">
            <v>3400</v>
          </cell>
          <cell r="V52">
            <v>10000</v>
          </cell>
          <cell r="W52">
            <v>3700</v>
          </cell>
          <cell r="X52">
            <v>0</v>
          </cell>
        </row>
        <row r="53"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660</v>
          </cell>
          <cell r="J53">
            <v>25</v>
          </cell>
          <cell r="K53">
            <v>0</v>
          </cell>
          <cell r="L53">
            <v>16500</v>
          </cell>
          <cell r="M53">
            <v>0</v>
          </cell>
          <cell r="N53">
            <v>0</v>
          </cell>
          <cell r="O53">
            <v>16500</v>
          </cell>
          <cell r="Q53">
            <v>0</v>
          </cell>
          <cell r="R53">
            <v>16000</v>
          </cell>
          <cell r="S53">
            <v>500</v>
          </cell>
          <cell r="U53">
            <v>4000</v>
          </cell>
          <cell r="V53">
            <v>10000</v>
          </cell>
          <cell r="W53">
            <v>2000</v>
          </cell>
          <cell r="X53">
            <v>0</v>
          </cell>
        </row>
        <row r="54"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26750</v>
          </cell>
          <cell r="J56">
            <v>16</v>
          </cell>
          <cell r="K56">
            <v>5</v>
          </cell>
          <cell r="L56">
            <v>14266.666666666666</v>
          </cell>
          <cell r="M56">
            <v>360</v>
          </cell>
          <cell r="N56">
            <v>0</v>
          </cell>
          <cell r="O56">
            <v>14626.666666666666</v>
          </cell>
          <cell r="P56">
            <v>0</v>
          </cell>
          <cell r="Q56">
            <v>0</v>
          </cell>
          <cell r="R56">
            <v>8000</v>
          </cell>
          <cell r="S56">
            <v>6627</v>
          </cell>
          <cell r="U56">
            <v>2000</v>
          </cell>
          <cell r="V56">
            <v>2000</v>
          </cell>
          <cell r="W56">
            <v>4000</v>
          </cell>
          <cell r="X56">
            <v>0</v>
          </cell>
        </row>
        <row r="57"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445</v>
          </cell>
          <cell r="J57">
            <v>30</v>
          </cell>
          <cell r="K57">
            <v>111</v>
          </cell>
          <cell r="L57">
            <v>13350</v>
          </cell>
          <cell r="M57">
            <v>12348.75</v>
          </cell>
          <cell r="N57">
            <v>0</v>
          </cell>
          <cell r="O57">
            <v>25698.75</v>
          </cell>
          <cell r="P57">
            <v>0</v>
          </cell>
          <cell r="Q57">
            <v>0</v>
          </cell>
          <cell r="R57">
            <v>13000</v>
          </cell>
          <cell r="S57">
            <v>12699</v>
          </cell>
          <cell r="U57">
            <v>4400</v>
          </cell>
          <cell r="V57">
            <v>0</v>
          </cell>
          <cell r="W57">
            <v>3600</v>
          </cell>
          <cell r="X57">
            <v>5000</v>
          </cell>
        </row>
        <row r="58"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26500</v>
          </cell>
          <cell r="J59">
            <v>27</v>
          </cell>
          <cell r="K59">
            <v>61</v>
          </cell>
          <cell r="L59">
            <v>23850</v>
          </cell>
          <cell r="M59">
            <v>4345</v>
          </cell>
          <cell r="N59">
            <v>0</v>
          </cell>
          <cell r="O59">
            <v>28195</v>
          </cell>
          <cell r="P59">
            <v>0</v>
          </cell>
          <cell r="Q59">
            <v>0</v>
          </cell>
          <cell r="R59">
            <v>18000</v>
          </cell>
          <cell r="S59">
            <v>10195</v>
          </cell>
          <cell r="U59">
            <v>4000</v>
          </cell>
          <cell r="V59">
            <v>10000</v>
          </cell>
          <cell r="W59">
            <v>4000</v>
          </cell>
          <cell r="X59">
            <v>0</v>
          </cell>
        </row>
        <row r="60"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27000</v>
          </cell>
          <cell r="J60">
            <v>30</v>
          </cell>
          <cell r="K60">
            <v>38</v>
          </cell>
          <cell r="L60">
            <v>27000</v>
          </cell>
          <cell r="M60">
            <v>2758</v>
          </cell>
          <cell r="N60">
            <v>0</v>
          </cell>
          <cell r="O60">
            <v>29758</v>
          </cell>
          <cell r="P60">
            <v>0</v>
          </cell>
          <cell r="Q60">
            <v>0</v>
          </cell>
          <cell r="R60">
            <v>9000</v>
          </cell>
          <cell r="S60">
            <v>20758</v>
          </cell>
          <cell r="U60">
            <v>4500</v>
          </cell>
          <cell r="V60">
            <v>0</v>
          </cell>
          <cell r="W60">
            <v>4500</v>
          </cell>
          <cell r="X60">
            <v>0</v>
          </cell>
        </row>
        <row r="61"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30</v>
          </cell>
          <cell r="K61">
            <v>40</v>
          </cell>
          <cell r="L61">
            <v>25000</v>
          </cell>
          <cell r="M61">
            <v>2688</v>
          </cell>
          <cell r="N61">
            <v>0</v>
          </cell>
          <cell r="O61">
            <v>27688</v>
          </cell>
          <cell r="P61">
            <v>0</v>
          </cell>
          <cell r="Q61">
            <v>0</v>
          </cell>
          <cell r="R61">
            <v>8500</v>
          </cell>
          <cell r="S61">
            <v>19188</v>
          </cell>
          <cell r="U61">
            <v>4500</v>
          </cell>
          <cell r="V61">
            <v>0</v>
          </cell>
          <cell r="W61">
            <v>4000</v>
          </cell>
          <cell r="X61">
            <v>0</v>
          </cell>
        </row>
        <row r="62"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</row>
        <row r="63"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26500</v>
          </cell>
          <cell r="J63">
            <v>9</v>
          </cell>
          <cell r="K63">
            <v>24</v>
          </cell>
          <cell r="L63">
            <v>7950</v>
          </cell>
          <cell r="M63">
            <v>1710</v>
          </cell>
          <cell r="N63">
            <v>0</v>
          </cell>
          <cell r="O63">
            <v>9660</v>
          </cell>
          <cell r="P63">
            <v>0</v>
          </cell>
          <cell r="Q63">
            <v>0</v>
          </cell>
          <cell r="R63">
            <v>2500</v>
          </cell>
          <cell r="S63">
            <v>7160</v>
          </cell>
          <cell r="U63">
            <v>2500</v>
          </cell>
          <cell r="V63">
            <v>0</v>
          </cell>
          <cell r="W63">
            <v>0</v>
          </cell>
          <cell r="X63">
            <v>0</v>
          </cell>
        </row>
        <row r="64"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435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C68" t="str">
            <v>RAHUL KUMAR</v>
          </cell>
          <cell r="H68" t="str">
            <v>R</v>
          </cell>
          <cell r="I68">
            <v>335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27000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29</v>
          </cell>
          <cell r="K72">
            <v>4</v>
          </cell>
          <cell r="L72">
            <v>23200</v>
          </cell>
          <cell r="M72">
            <v>258</v>
          </cell>
          <cell r="N72">
            <v>0</v>
          </cell>
          <cell r="O72">
            <v>23458</v>
          </cell>
          <cell r="P72">
            <v>0</v>
          </cell>
          <cell r="Q72">
            <v>0</v>
          </cell>
          <cell r="R72">
            <v>8500</v>
          </cell>
          <cell r="S72">
            <v>14958</v>
          </cell>
          <cell r="U72">
            <v>4500</v>
          </cell>
          <cell r="V72">
            <v>0</v>
          </cell>
          <cell r="W72">
            <v>4000</v>
          </cell>
          <cell r="X72">
            <v>0</v>
          </cell>
        </row>
        <row r="73"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380</v>
          </cell>
          <cell r="J73">
            <v>12</v>
          </cell>
          <cell r="K73">
            <v>54</v>
          </cell>
          <cell r="L73">
            <v>4560</v>
          </cell>
          <cell r="M73">
            <v>5130</v>
          </cell>
          <cell r="N73">
            <v>0</v>
          </cell>
          <cell r="O73">
            <v>9690</v>
          </cell>
          <cell r="P73">
            <v>0</v>
          </cell>
          <cell r="Q73">
            <v>0</v>
          </cell>
          <cell r="R73">
            <v>9300</v>
          </cell>
          <cell r="S73">
            <v>390</v>
          </cell>
          <cell r="U73">
            <v>2300</v>
          </cell>
          <cell r="V73">
            <v>5000</v>
          </cell>
          <cell r="W73">
            <v>2000</v>
          </cell>
          <cell r="X73">
            <v>0</v>
          </cell>
        </row>
        <row r="74"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490</v>
          </cell>
          <cell r="J74">
            <v>30</v>
          </cell>
          <cell r="K74">
            <v>172</v>
          </cell>
          <cell r="L74">
            <v>14700</v>
          </cell>
          <cell r="M74">
            <v>21070</v>
          </cell>
          <cell r="N74">
            <v>0</v>
          </cell>
          <cell r="O74">
            <v>35770</v>
          </cell>
          <cell r="P74">
            <v>0</v>
          </cell>
          <cell r="Q74">
            <v>0</v>
          </cell>
          <cell r="R74">
            <v>16700</v>
          </cell>
          <cell r="S74">
            <v>19070</v>
          </cell>
          <cell r="U74">
            <v>2800</v>
          </cell>
          <cell r="V74">
            <v>10000</v>
          </cell>
          <cell r="W74">
            <v>3900</v>
          </cell>
          <cell r="X74">
            <v>0</v>
          </cell>
        </row>
        <row r="75"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500</v>
          </cell>
          <cell r="J75">
            <v>23</v>
          </cell>
          <cell r="K75">
            <v>136</v>
          </cell>
          <cell r="L75">
            <v>11500</v>
          </cell>
          <cell r="M75">
            <v>17000</v>
          </cell>
          <cell r="N75">
            <v>0</v>
          </cell>
          <cell r="O75">
            <v>28500</v>
          </cell>
          <cell r="P75">
            <v>0</v>
          </cell>
          <cell r="Q75">
            <v>0</v>
          </cell>
          <cell r="R75">
            <v>26700</v>
          </cell>
          <cell r="S75">
            <v>1800</v>
          </cell>
          <cell r="U75">
            <v>5500</v>
          </cell>
          <cell r="V75">
            <v>13700</v>
          </cell>
          <cell r="W75">
            <v>5500</v>
          </cell>
          <cell r="X75">
            <v>2000</v>
          </cell>
        </row>
        <row r="76"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26000</v>
          </cell>
          <cell r="J76">
            <v>13</v>
          </cell>
          <cell r="K76">
            <v>36</v>
          </cell>
          <cell r="L76">
            <v>11266.666666666666</v>
          </cell>
          <cell r="M76">
            <v>2516</v>
          </cell>
          <cell r="N76">
            <v>0</v>
          </cell>
          <cell r="O76">
            <v>13782.666666666666</v>
          </cell>
          <cell r="P76">
            <v>0</v>
          </cell>
          <cell r="Q76">
            <v>0</v>
          </cell>
          <cell r="R76">
            <v>4000</v>
          </cell>
          <cell r="S76">
            <v>9783</v>
          </cell>
          <cell r="U76">
            <v>2000</v>
          </cell>
          <cell r="V76">
            <v>0</v>
          </cell>
          <cell r="W76">
            <v>2000</v>
          </cell>
          <cell r="X76">
            <v>0</v>
          </cell>
        </row>
        <row r="77"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25000</v>
          </cell>
          <cell r="J77">
            <v>27</v>
          </cell>
          <cell r="K77">
            <v>38</v>
          </cell>
          <cell r="L77">
            <v>22500</v>
          </cell>
          <cell r="M77">
            <v>2554</v>
          </cell>
          <cell r="N77">
            <v>1500</v>
          </cell>
          <cell r="O77">
            <v>26554</v>
          </cell>
          <cell r="P77">
            <v>0</v>
          </cell>
          <cell r="Q77">
            <v>0</v>
          </cell>
          <cell r="R77">
            <v>21000</v>
          </cell>
          <cell r="S77">
            <v>5554</v>
          </cell>
          <cell r="U77">
            <v>4000</v>
          </cell>
          <cell r="V77">
            <v>1500</v>
          </cell>
          <cell r="W77">
            <v>4500</v>
          </cell>
          <cell r="X77">
            <v>11000</v>
          </cell>
        </row>
        <row r="78"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27000</v>
          </cell>
          <cell r="J78">
            <v>27</v>
          </cell>
          <cell r="K78">
            <v>60</v>
          </cell>
          <cell r="L78">
            <v>24300</v>
          </cell>
          <cell r="M78">
            <v>4355</v>
          </cell>
          <cell r="N78">
            <v>0</v>
          </cell>
          <cell r="O78">
            <v>28655</v>
          </cell>
          <cell r="P78">
            <v>0</v>
          </cell>
          <cell r="Q78">
            <v>0</v>
          </cell>
          <cell r="R78">
            <v>18000</v>
          </cell>
          <cell r="S78">
            <v>10655</v>
          </cell>
          <cell r="U78">
            <v>4000</v>
          </cell>
          <cell r="V78">
            <v>10000</v>
          </cell>
          <cell r="W78">
            <v>4000</v>
          </cell>
          <cell r="X78">
            <v>0</v>
          </cell>
        </row>
        <row r="79"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450</v>
          </cell>
          <cell r="J79">
            <v>13</v>
          </cell>
          <cell r="K79">
            <v>79</v>
          </cell>
          <cell r="L79">
            <v>5850</v>
          </cell>
          <cell r="M79">
            <v>8887.5</v>
          </cell>
          <cell r="N79">
            <v>0</v>
          </cell>
          <cell r="O79">
            <v>14737.5</v>
          </cell>
          <cell r="P79">
            <v>0</v>
          </cell>
          <cell r="Q79">
            <v>0</v>
          </cell>
          <cell r="R79">
            <v>8400</v>
          </cell>
          <cell r="S79">
            <v>6338</v>
          </cell>
          <cell r="U79">
            <v>1400</v>
          </cell>
          <cell r="V79">
            <v>5000</v>
          </cell>
          <cell r="W79">
            <v>2000</v>
          </cell>
          <cell r="X79">
            <v>0</v>
          </cell>
        </row>
        <row r="80"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23000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U80">
            <v>1000</v>
          </cell>
          <cell r="V80">
            <v>-10000</v>
          </cell>
          <cell r="W80">
            <v>4000</v>
          </cell>
          <cell r="X80">
            <v>5000</v>
          </cell>
        </row>
        <row r="81"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25000</v>
          </cell>
          <cell r="J81">
            <v>12</v>
          </cell>
          <cell r="K81">
            <v>12</v>
          </cell>
          <cell r="L81">
            <v>10000</v>
          </cell>
          <cell r="M81">
            <v>806</v>
          </cell>
          <cell r="N81">
            <v>0</v>
          </cell>
          <cell r="O81">
            <v>10806</v>
          </cell>
          <cell r="P81">
            <v>0</v>
          </cell>
          <cell r="Q81">
            <v>0</v>
          </cell>
          <cell r="R81">
            <v>7000</v>
          </cell>
          <cell r="S81">
            <v>3806</v>
          </cell>
          <cell r="U81">
            <v>2000</v>
          </cell>
          <cell r="V81">
            <v>0</v>
          </cell>
          <cell r="W81">
            <v>5000</v>
          </cell>
          <cell r="X81">
            <v>0</v>
          </cell>
        </row>
        <row r="82"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10500</v>
          </cell>
          <cell r="J82">
            <v>27</v>
          </cell>
          <cell r="K82">
            <v>0</v>
          </cell>
          <cell r="L82">
            <v>9450</v>
          </cell>
          <cell r="M82">
            <v>0</v>
          </cell>
          <cell r="N82">
            <v>0</v>
          </cell>
          <cell r="O82">
            <v>9450</v>
          </cell>
          <cell r="P82">
            <v>0</v>
          </cell>
          <cell r="Q82">
            <v>0</v>
          </cell>
          <cell r="R82">
            <v>6000</v>
          </cell>
          <cell r="S82">
            <v>3450</v>
          </cell>
          <cell r="U82">
            <v>4000</v>
          </cell>
          <cell r="V82">
            <v>0</v>
          </cell>
          <cell r="W82">
            <v>2000</v>
          </cell>
          <cell r="X82">
            <v>0</v>
          </cell>
        </row>
        <row r="83"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18000</v>
          </cell>
          <cell r="J83">
            <v>21</v>
          </cell>
          <cell r="K83">
            <v>0</v>
          </cell>
          <cell r="L83">
            <v>12600</v>
          </cell>
          <cell r="M83">
            <v>0</v>
          </cell>
          <cell r="N83">
            <v>0</v>
          </cell>
          <cell r="O83">
            <v>12600</v>
          </cell>
          <cell r="P83">
            <v>0</v>
          </cell>
          <cell r="Q83">
            <v>0</v>
          </cell>
          <cell r="R83">
            <v>0</v>
          </cell>
          <cell r="S83">
            <v>12600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C84" t="str">
            <v>MALLI SUMAN</v>
          </cell>
          <cell r="E84" t="str">
            <v>TORANAGALLU</v>
          </cell>
          <cell r="F84" t="str">
            <v>007001005268</v>
          </cell>
          <cell r="G84" t="str">
            <v>ICIC00VSCBL</v>
          </cell>
          <cell r="H84" t="str">
            <v>H</v>
          </cell>
          <cell r="I84">
            <v>17000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31000</v>
          </cell>
          <cell r="J85">
            <v>30</v>
          </cell>
          <cell r="K85">
            <v>70</v>
          </cell>
          <cell r="L85">
            <v>30999.999999999996</v>
          </cell>
          <cell r="M85">
            <v>5833</v>
          </cell>
          <cell r="N85">
            <v>1000</v>
          </cell>
          <cell r="O85">
            <v>37833</v>
          </cell>
          <cell r="P85">
            <v>0</v>
          </cell>
          <cell r="Q85">
            <v>0</v>
          </cell>
          <cell r="R85">
            <v>21000</v>
          </cell>
          <cell r="S85">
            <v>16833</v>
          </cell>
          <cell r="U85">
            <v>6000</v>
          </cell>
          <cell r="V85">
            <v>5000</v>
          </cell>
          <cell r="W85">
            <v>5000</v>
          </cell>
          <cell r="X85">
            <v>5000</v>
          </cell>
        </row>
        <row r="86"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29000</v>
          </cell>
          <cell r="J86">
            <v>9</v>
          </cell>
          <cell r="K86">
            <v>0</v>
          </cell>
          <cell r="L86">
            <v>8700</v>
          </cell>
          <cell r="M86">
            <v>0</v>
          </cell>
          <cell r="N86">
            <v>0</v>
          </cell>
          <cell r="O86">
            <v>8700</v>
          </cell>
          <cell r="P86">
            <v>0</v>
          </cell>
          <cell r="Q86">
            <v>0</v>
          </cell>
          <cell r="R86">
            <v>3000</v>
          </cell>
          <cell r="S86">
            <v>5700</v>
          </cell>
          <cell r="U86">
            <v>2000</v>
          </cell>
          <cell r="V86">
            <v>1000</v>
          </cell>
          <cell r="W86">
            <v>0</v>
          </cell>
          <cell r="X86">
            <v>0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J87">
            <v>0</v>
          </cell>
          <cell r="L87">
            <v>0</v>
          </cell>
          <cell r="M87">
            <v>0</v>
          </cell>
          <cell r="N87">
            <v>1000</v>
          </cell>
          <cell r="O87">
            <v>1000</v>
          </cell>
          <cell r="P87">
            <v>0</v>
          </cell>
          <cell r="Q87">
            <v>0</v>
          </cell>
          <cell r="R87">
            <v>5500</v>
          </cell>
          <cell r="S87">
            <v>-4500</v>
          </cell>
          <cell r="U87">
            <v>0</v>
          </cell>
          <cell r="V87">
            <v>0</v>
          </cell>
          <cell r="W87">
            <v>5500</v>
          </cell>
          <cell r="X87">
            <v>0</v>
          </cell>
        </row>
        <row r="88"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20</v>
          </cell>
          <cell r="K91">
            <v>0</v>
          </cell>
          <cell r="L91">
            <v>18666.666666666668</v>
          </cell>
          <cell r="M91">
            <v>0</v>
          </cell>
          <cell r="N91">
            <v>0</v>
          </cell>
          <cell r="O91">
            <v>18666.666666666668</v>
          </cell>
          <cell r="P91">
            <v>0</v>
          </cell>
          <cell r="Q91">
            <v>0</v>
          </cell>
          <cell r="R91">
            <v>18667</v>
          </cell>
          <cell r="S91">
            <v>0</v>
          </cell>
          <cell r="U91">
            <v>4000</v>
          </cell>
          <cell r="V91">
            <v>5000</v>
          </cell>
          <cell r="W91">
            <v>4000</v>
          </cell>
          <cell r="X91">
            <v>5667</v>
          </cell>
        </row>
        <row r="92"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46500</v>
          </cell>
          <cell r="J92">
            <v>27</v>
          </cell>
          <cell r="K92">
            <v>3</v>
          </cell>
          <cell r="L92">
            <v>41850</v>
          </cell>
          <cell r="M92">
            <v>375</v>
          </cell>
          <cell r="N92">
            <v>0</v>
          </cell>
          <cell r="O92">
            <v>42225</v>
          </cell>
          <cell r="P92">
            <v>0</v>
          </cell>
          <cell r="Q92">
            <v>0</v>
          </cell>
          <cell r="R92">
            <v>25000</v>
          </cell>
          <cell r="S92">
            <v>17225</v>
          </cell>
          <cell r="U92">
            <v>8000</v>
          </cell>
          <cell r="V92">
            <v>2000</v>
          </cell>
          <cell r="W92">
            <v>13000</v>
          </cell>
          <cell r="X92">
            <v>2000</v>
          </cell>
        </row>
        <row r="93"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22</v>
          </cell>
          <cell r="K93">
            <v>24</v>
          </cell>
          <cell r="L93">
            <v>12466.666666666666</v>
          </cell>
          <cell r="M93">
            <v>1097</v>
          </cell>
          <cell r="N93">
            <v>0</v>
          </cell>
          <cell r="O93">
            <v>13563.666666666666</v>
          </cell>
          <cell r="P93">
            <v>0</v>
          </cell>
          <cell r="Q93">
            <v>0</v>
          </cell>
          <cell r="R93">
            <v>5000</v>
          </cell>
          <cell r="S93">
            <v>8564</v>
          </cell>
          <cell r="U93">
            <v>4000</v>
          </cell>
          <cell r="V93">
            <v>0</v>
          </cell>
          <cell r="W93">
            <v>1000</v>
          </cell>
          <cell r="X93">
            <v>0</v>
          </cell>
        </row>
        <row r="94"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24</v>
          </cell>
          <cell r="K94">
            <v>0</v>
          </cell>
          <cell r="L94">
            <v>13600</v>
          </cell>
          <cell r="M94">
            <v>0</v>
          </cell>
          <cell r="N94">
            <v>0</v>
          </cell>
          <cell r="O94">
            <v>13600</v>
          </cell>
          <cell r="P94">
            <v>0</v>
          </cell>
          <cell r="Q94">
            <v>0</v>
          </cell>
          <cell r="R94">
            <v>5000</v>
          </cell>
          <cell r="S94">
            <v>8600</v>
          </cell>
          <cell r="U94">
            <v>4000</v>
          </cell>
          <cell r="V94">
            <v>0</v>
          </cell>
          <cell r="W94">
            <v>1000</v>
          </cell>
          <cell r="X94">
            <v>0</v>
          </cell>
        </row>
        <row r="95"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27</v>
          </cell>
          <cell r="K97">
            <v>36</v>
          </cell>
          <cell r="L97">
            <v>15299.999999999998</v>
          </cell>
          <cell r="M97">
            <v>1645</v>
          </cell>
          <cell r="N97">
            <v>0</v>
          </cell>
          <cell r="O97">
            <v>16945</v>
          </cell>
          <cell r="P97">
            <v>0</v>
          </cell>
          <cell r="Q97">
            <v>0</v>
          </cell>
          <cell r="R97">
            <v>8000</v>
          </cell>
          <cell r="S97">
            <v>8945</v>
          </cell>
          <cell r="U97">
            <v>4000</v>
          </cell>
          <cell r="V97">
            <v>0</v>
          </cell>
          <cell r="W97">
            <v>4000</v>
          </cell>
          <cell r="X97">
            <v>0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C100" t="str">
            <v>RAKESH</v>
          </cell>
          <cell r="H100" t="str">
            <v>W</v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30</v>
          </cell>
          <cell r="K102">
            <v>3</v>
          </cell>
          <cell r="L102">
            <v>20000</v>
          </cell>
          <cell r="M102">
            <v>161</v>
          </cell>
          <cell r="N102">
            <v>0</v>
          </cell>
          <cell r="O102">
            <v>20161</v>
          </cell>
          <cell r="P102">
            <v>0</v>
          </cell>
          <cell r="Q102">
            <v>0</v>
          </cell>
          <cell r="R102">
            <v>8000</v>
          </cell>
          <cell r="S102">
            <v>12161</v>
          </cell>
          <cell r="U102">
            <v>4000</v>
          </cell>
          <cell r="V102">
            <v>0</v>
          </cell>
          <cell r="W102">
            <v>4000</v>
          </cell>
          <cell r="X102">
            <v>0</v>
          </cell>
        </row>
        <row r="103"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C104" t="str">
            <v>MONU KUMAR</v>
          </cell>
          <cell r="F104" t="str">
            <v>7808610062</v>
          </cell>
          <cell r="G104" t="str">
            <v>AIRP0000001</v>
          </cell>
          <cell r="H104" t="str">
            <v>K</v>
          </cell>
          <cell r="I104">
            <v>900</v>
          </cell>
          <cell r="J104">
            <v>29.5</v>
          </cell>
          <cell r="K104">
            <v>5</v>
          </cell>
          <cell r="L104">
            <v>26550</v>
          </cell>
          <cell r="M104">
            <v>375</v>
          </cell>
          <cell r="N104">
            <v>0</v>
          </cell>
          <cell r="O104">
            <v>26925</v>
          </cell>
          <cell r="P104">
            <v>0</v>
          </cell>
          <cell r="Q104">
            <v>0</v>
          </cell>
          <cell r="R104">
            <v>8000</v>
          </cell>
          <cell r="S104">
            <v>18925</v>
          </cell>
          <cell r="U104">
            <v>4000</v>
          </cell>
          <cell r="V104">
            <v>0</v>
          </cell>
          <cell r="W104">
            <v>4000</v>
          </cell>
          <cell r="X104">
            <v>0</v>
          </cell>
        </row>
        <row r="105">
          <cell r="C105" t="str">
            <v>JAGDISH MAHATO</v>
          </cell>
          <cell r="F105" t="str">
            <v>1002281030158009</v>
          </cell>
          <cell r="G105" t="str">
            <v>CBIN0R10001</v>
          </cell>
          <cell r="H105" t="str">
            <v>K</v>
          </cell>
          <cell r="I105">
            <v>900</v>
          </cell>
          <cell r="J105">
            <v>30</v>
          </cell>
          <cell r="K105">
            <v>16</v>
          </cell>
          <cell r="L105">
            <v>27000</v>
          </cell>
          <cell r="M105">
            <v>1200</v>
          </cell>
          <cell r="N105">
            <v>0</v>
          </cell>
          <cell r="O105">
            <v>28200</v>
          </cell>
          <cell r="P105">
            <v>0</v>
          </cell>
          <cell r="Q105">
            <v>0</v>
          </cell>
          <cell r="R105">
            <v>28000</v>
          </cell>
          <cell r="S105">
            <v>200</v>
          </cell>
          <cell r="U105">
            <v>4000</v>
          </cell>
          <cell r="V105">
            <v>10000</v>
          </cell>
          <cell r="W105">
            <v>4000</v>
          </cell>
          <cell r="X105">
            <v>10000</v>
          </cell>
        </row>
        <row r="106">
          <cell r="C106" t="str">
            <v>MUNNU KUMAR SINGH</v>
          </cell>
          <cell r="F106" t="str">
            <v>002810284843</v>
          </cell>
          <cell r="G106" t="str">
            <v>IPOS0000001</v>
          </cell>
          <cell r="H106" t="str">
            <v>R</v>
          </cell>
          <cell r="I106">
            <v>1100</v>
          </cell>
          <cell r="J106">
            <v>30</v>
          </cell>
          <cell r="K106">
            <v>5</v>
          </cell>
          <cell r="L106">
            <v>33000</v>
          </cell>
          <cell r="M106">
            <v>458.33333333333337</v>
          </cell>
          <cell r="N106">
            <v>3000</v>
          </cell>
          <cell r="O106">
            <v>36458.333333333336</v>
          </cell>
          <cell r="P106">
            <v>0</v>
          </cell>
          <cell r="Q106">
            <v>0</v>
          </cell>
          <cell r="R106">
            <v>8000</v>
          </cell>
          <cell r="S106">
            <v>28458</v>
          </cell>
          <cell r="U106">
            <v>4000</v>
          </cell>
          <cell r="V106">
            <v>0</v>
          </cell>
          <cell r="W106">
            <v>4000</v>
          </cell>
          <cell r="X106">
            <v>0</v>
          </cell>
        </row>
        <row r="107"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22</v>
          </cell>
          <cell r="K107">
            <v>11</v>
          </cell>
          <cell r="L107">
            <v>19800</v>
          </cell>
          <cell r="M107">
            <v>825</v>
          </cell>
          <cell r="N107">
            <v>0</v>
          </cell>
          <cell r="O107">
            <v>20625</v>
          </cell>
          <cell r="P107">
            <v>0</v>
          </cell>
          <cell r="Q107">
            <v>0</v>
          </cell>
          <cell r="R107">
            <v>14000</v>
          </cell>
          <cell r="S107">
            <v>6625</v>
          </cell>
          <cell r="U107">
            <v>4500</v>
          </cell>
          <cell r="V107">
            <v>3000</v>
          </cell>
          <cell r="W107">
            <v>6000</v>
          </cell>
          <cell r="X107">
            <v>500</v>
          </cell>
        </row>
        <row r="108"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1100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1100</v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8</v>
          </cell>
          <cell r="K119">
            <v>46</v>
          </cell>
          <cell r="L119">
            <v>2800</v>
          </cell>
          <cell r="M119">
            <v>4025</v>
          </cell>
          <cell r="N119">
            <v>0</v>
          </cell>
          <cell r="O119">
            <v>6825</v>
          </cell>
          <cell r="P119">
            <v>0</v>
          </cell>
          <cell r="Q119">
            <v>0</v>
          </cell>
          <cell r="R119">
            <v>2000</v>
          </cell>
          <cell r="S119">
            <v>4825</v>
          </cell>
          <cell r="U119">
            <v>2000</v>
          </cell>
          <cell r="V119">
            <v>0</v>
          </cell>
          <cell r="W119">
            <v>0</v>
          </cell>
          <cell r="X119">
            <v>0</v>
          </cell>
        </row>
        <row r="120"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H120" t="str">
            <v>K</v>
          </cell>
          <cell r="I120">
            <v>800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C125" t="str">
            <v>ROKALLA SYAMSUNDAR</v>
          </cell>
          <cell r="F125" t="str">
            <v>41415841085</v>
          </cell>
          <cell r="G125" t="str">
            <v>SBIN0015709</v>
          </cell>
          <cell r="H125" t="str">
            <v>H</v>
          </cell>
          <cell r="I125">
            <v>17000</v>
          </cell>
          <cell r="J125">
            <v>22</v>
          </cell>
          <cell r="K125">
            <v>12</v>
          </cell>
          <cell r="L125">
            <v>12466.666666666666</v>
          </cell>
          <cell r="M125">
            <v>548</v>
          </cell>
          <cell r="N125">
            <v>0</v>
          </cell>
          <cell r="O125">
            <v>13014.666666666666</v>
          </cell>
          <cell r="P125">
            <v>0</v>
          </cell>
          <cell r="Q125">
            <v>0</v>
          </cell>
          <cell r="R125">
            <v>11000</v>
          </cell>
          <cell r="S125">
            <v>2015</v>
          </cell>
          <cell r="U125">
            <v>4000</v>
          </cell>
          <cell r="V125">
            <v>4000</v>
          </cell>
          <cell r="W125">
            <v>3000</v>
          </cell>
          <cell r="X125">
            <v>0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19</v>
          </cell>
          <cell r="K126">
            <v>26</v>
          </cell>
          <cell r="L126">
            <v>10766.666666666666</v>
          </cell>
          <cell r="M126">
            <v>1188</v>
          </cell>
          <cell r="N126">
            <v>0</v>
          </cell>
          <cell r="O126">
            <v>11954.666666666666</v>
          </cell>
          <cell r="P126">
            <v>0</v>
          </cell>
          <cell r="Q126">
            <v>0</v>
          </cell>
          <cell r="R126">
            <v>4000</v>
          </cell>
          <cell r="S126">
            <v>7955</v>
          </cell>
          <cell r="U126">
            <v>4000</v>
          </cell>
          <cell r="V126">
            <v>0</v>
          </cell>
          <cell r="W126">
            <v>0</v>
          </cell>
          <cell r="X126">
            <v>0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13</v>
          </cell>
          <cell r="K127">
            <v>13</v>
          </cell>
          <cell r="L127">
            <v>11266.666666666666</v>
          </cell>
          <cell r="M127">
            <v>909</v>
          </cell>
          <cell r="N127">
            <v>0</v>
          </cell>
          <cell r="O127">
            <v>12175.666666666666</v>
          </cell>
          <cell r="P127">
            <v>0</v>
          </cell>
          <cell r="Q127">
            <v>0</v>
          </cell>
          <cell r="R127">
            <v>2000</v>
          </cell>
          <cell r="S127">
            <v>10176</v>
          </cell>
          <cell r="U127">
            <v>2000</v>
          </cell>
          <cell r="V127">
            <v>0</v>
          </cell>
          <cell r="W127">
            <v>0</v>
          </cell>
          <cell r="X127">
            <v>0</v>
          </cell>
        </row>
        <row r="128"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12</v>
          </cell>
          <cell r="K128">
            <v>2</v>
          </cell>
          <cell r="L128">
            <v>10000</v>
          </cell>
          <cell r="M128">
            <v>134</v>
          </cell>
          <cell r="N128">
            <v>0</v>
          </cell>
          <cell r="O128">
            <v>10134</v>
          </cell>
          <cell r="P128">
            <v>0</v>
          </cell>
          <cell r="Q128">
            <v>0</v>
          </cell>
          <cell r="R128">
            <v>6000</v>
          </cell>
          <cell r="S128">
            <v>4134</v>
          </cell>
          <cell r="U128">
            <v>2000</v>
          </cell>
          <cell r="V128">
            <v>4000</v>
          </cell>
          <cell r="W128">
            <v>0</v>
          </cell>
          <cell r="X128">
            <v>0</v>
          </cell>
        </row>
        <row r="129">
          <cell r="C129" t="str">
            <v>GUDIYA BALARAM SAHU</v>
          </cell>
          <cell r="I129">
            <v>18000</v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10</v>
          </cell>
          <cell r="L131">
            <v>7333.3333333333339</v>
          </cell>
          <cell r="M131">
            <v>0</v>
          </cell>
          <cell r="N131">
            <v>0</v>
          </cell>
          <cell r="O131">
            <v>7333.3333333333339</v>
          </cell>
          <cell r="P131">
            <v>0</v>
          </cell>
          <cell r="Q131">
            <v>0</v>
          </cell>
          <cell r="R131">
            <v>7000</v>
          </cell>
          <cell r="S131">
            <v>333</v>
          </cell>
          <cell r="U131">
            <v>2000</v>
          </cell>
          <cell r="V131">
            <v>5000</v>
          </cell>
          <cell r="W131">
            <v>0</v>
          </cell>
          <cell r="X131">
            <v>0</v>
          </cell>
        </row>
        <row r="132">
          <cell r="C132" t="str">
            <v>MOHD MUZAMIL</v>
          </cell>
          <cell r="F132" t="str">
            <v>39137070225</v>
          </cell>
          <cell r="G132" t="str">
            <v>SBIN0017683</v>
          </cell>
          <cell r="H132" t="str">
            <v>R</v>
          </cell>
          <cell r="I132">
            <v>25000</v>
          </cell>
          <cell r="J132">
            <v>26</v>
          </cell>
          <cell r="K132">
            <v>26</v>
          </cell>
          <cell r="L132">
            <v>21666.666666666668</v>
          </cell>
          <cell r="M132">
            <v>1747</v>
          </cell>
          <cell r="N132">
            <v>0</v>
          </cell>
          <cell r="O132">
            <v>23413.666666666668</v>
          </cell>
          <cell r="P132">
            <v>0</v>
          </cell>
          <cell r="Q132">
            <v>0</v>
          </cell>
          <cell r="R132">
            <v>15000</v>
          </cell>
          <cell r="S132">
            <v>8414</v>
          </cell>
          <cell r="U132">
            <v>4000</v>
          </cell>
          <cell r="V132">
            <v>10000</v>
          </cell>
          <cell r="W132">
            <v>1000</v>
          </cell>
          <cell r="X132">
            <v>0</v>
          </cell>
        </row>
        <row r="133">
          <cell r="C133" t="str">
            <v>DALIBANDHU PRADHAN</v>
          </cell>
          <cell r="I133">
            <v>18000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C134" t="str">
            <v>G DIWAKAR</v>
          </cell>
          <cell r="I134">
            <v>800</v>
          </cell>
          <cell r="J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C135" t="str">
            <v>G DEENABANDHU</v>
          </cell>
          <cell r="I135">
            <v>800</v>
          </cell>
          <cell r="J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C136" t="str">
            <v>ABHISHEK KUMAR</v>
          </cell>
          <cell r="F136" t="str">
            <v>35523566176</v>
          </cell>
          <cell r="G136" t="str">
            <v>SBIN0008186</v>
          </cell>
          <cell r="H136" t="str">
            <v>H</v>
          </cell>
          <cell r="I136">
            <v>25000</v>
          </cell>
          <cell r="J136">
            <v>30</v>
          </cell>
          <cell r="K136">
            <v>27</v>
          </cell>
          <cell r="L136">
            <v>25000</v>
          </cell>
          <cell r="M136">
            <v>1815</v>
          </cell>
          <cell r="N136">
            <v>0</v>
          </cell>
          <cell r="O136">
            <v>26815</v>
          </cell>
          <cell r="P136">
            <v>0</v>
          </cell>
          <cell r="Q136">
            <v>0</v>
          </cell>
          <cell r="R136">
            <v>18500</v>
          </cell>
          <cell r="S136">
            <v>8315</v>
          </cell>
          <cell r="U136">
            <v>4500</v>
          </cell>
          <cell r="V136">
            <v>10000</v>
          </cell>
          <cell r="W136">
            <v>4000</v>
          </cell>
          <cell r="X136">
            <v>0</v>
          </cell>
        </row>
        <row r="137">
          <cell r="C137" t="str">
            <v>NIRAJ KUMAR</v>
          </cell>
          <cell r="F137" t="str">
            <v>52930100003890</v>
          </cell>
          <cell r="G137" t="str">
            <v>BARB0BALTHI</v>
          </cell>
          <cell r="H137" t="str">
            <v>K</v>
          </cell>
          <cell r="I137">
            <v>25000</v>
          </cell>
          <cell r="J137">
            <v>30</v>
          </cell>
          <cell r="K137">
            <v>39</v>
          </cell>
          <cell r="L137">
            <v>25000</v>
          </cell>
          <cell r="M137">
            <v>2621</v>
          </cell>
          <cell r="N137">
            <v>0</v>
          </cell>
          <cell r="O137">
            <v>27621</v>
          </cell>
          <cell r="P137">
            <v>0</v>
          </cell>
          <cell r="Q137">
            <v>0</v>
          </cell>
          <cell r="R137">
            <v>13500</v>
          </cell>
          <cell r="S137">
            <v>14121</v>
          </cell>
          <cell r="U137">
            <v>4500</v>
          </cell>
          <cell r="V137">
            <v>0</v>
          </cell>
          <cell r="W137">
            <v>4000</v>
          </cell>
          <cell r="X137">
            <v>5000</v>
          </cell>
        </row>
        <row r="138">
          <cell r="C138" t="str">
            <v>ANIRUDH RAY</v>
          </cell>
          <cell r="H138" t="str">
            <v>K</v>
          </cell>
          <cell r="I138">
            <v>18000</v>
          </cell>
          <cell r="J138">
            <v>30</v>
          </cell>
          <cell r="K138">
            <v>0</v>
          </cell>
          <cell r="L138">
            <v>18000</v>
          </cell>
          <cell r="M138">
            <v>0</v>
          </cell>
          <cell r="N138">
            <v>0</v>
          </cell>
          <cell r="O138">
            <v>18000</v>
          </cell>
          <cell r="P138">
            <v>0</v>
          </cell>
          <cell r="Q138">
            <v>0</v>
          </cell>
          <cell r="R138">
            <v>9000</v>
          </cell>
          <cell r="S138">
            <v>9000</v>
          </cell>
          <cell r="U138">
            <v>4000</v>
          </cell>
          <cell r="V138">
            <v>0</v>
          </cell>
          <cell r="W138">
            <v>5000</v>
          </cell>
          <cell r="X138">
            <v>0</v>
          </cell>
        </row>
        <row r="139">
          <cell r="C139" t="str">
            <v>AJAYA KUMAR PRADHAN</v>
          </cell>
          <cell r="I139">
            <v>800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C140" t="str">
            <v>ANSARI ROHAN JAMIL AKHTER</v>
          </cell>
          <cell r="I140">
            <v>20000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C141" t="str">
            <v>RAJAN KUMAR GOND</v>
          </cell>
          <cell r="H141" t="str">
            <v>H O</v>
          </cell>
          <cell r="J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C142" t="str">
            <v>NITESH KUMAR</v>
          </cell>
          <cell r="H142" t="str">
            <v>K</v>
          </cell>
          <cell r="I142">
            <v>20000</v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C143" t="str">
            <v>JAYRAM PRADHAN</v>
          </cell>
          <cell r="H143" t="str">
            <v>R</v>
          </cell>
          <cell r="I143">
            <v>1000</v>
          </cell>
          <cell r="J143">
            <v>28</v>
          </cell>
          <cell r="K143">
            <v>0</v>
          </cell>
          <cell r="L143">
            <v>28000</v>
          </cell>
          <cell r="M143">
            <v>0</v>
          </cell>
          <cell r="O143">
            <v>28000</v>
          </cell>
          <cell r="P143">
            <v>0</v>
          </cell>
          <cell r="Q143">
            <v>0</v>
          </cell>
          <cell r="R143">
            <v>24000</v>
          </cell>
          <cell r="S143">
            <v>4000</v>
          </cell>
          <cell r="U143">
            <v>4000</v>
          </cell>
          <cell r="V143">
            <v>20000</v>
          </cell>
          <cell r="W143">
            <v>0</v>
          </cell>
          <cell r="X143">
            <v>0</v>
          </cell>
        </row>
        <row r="144">
          <cell r="C144" t="str">
            <v>BINAY PRADHAN</v>
          </cell>
          <cell r="H144" t="str">
            <v>R</v>
          </cell>
          <cell r="I144">
            <v>1000</v>
          </cell>
          <cell r="J144">
            <v>30</v>
          </cell>
          <cell r="K144">
            <v>1</v>
          </cell>
          <cell r="L144">
            <v>30000</v>
          </cell>
          <cell r="M144">
            <v>83.333333333333329</v>
          </cell>
          <cell r="O144">
            <v>30083.333333333332</v>
          </cell>
          <cell r="P144">
            <v>0</v>
          </cell>
          <cell r="Q144">
            <v>0</v>
          </cell>
          <cell r="R144">
            <v>23000</v>
          </cell>
          <cell r="S144">
            <v>7083</v>
          </cell>
          <cell r="U144">
            <v>4000</v>
          </cell>
          <cell r="V144">
            <v>15000</v>
          </cell>
          <cell r="W144">
            <v>4000</v>
          </cell>
          <cell r="X144">
            <v>0</v>
          </cell>
        </row>
        <row r="145">
          <cell r="C145" t="str">
            <v>NARASINGH PRADHAN</v>
          </cell>
          <cell r="H145" t="str">
            <v>R</v>
          </cell>
          <cell r="I145">
            <v>1000</v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C146" t="str">
            <v>RAKESH SINGH</v>
          </cell>
          <cell r="H146" t="str">
            <v>H</v>
          </cell>
          <cell r="I146">
            <v>20000</v>
          </cell>
          <cell r="J146">
            <v>30</v>
          </cell>
          <cell r="K146">
            <v>25</v>
          </cell>
          <cell r="L146">
            <v>20000</v>
          </cell>
          <cell r="M146">
            <v>1344</v>
          </cell>
          <cell r="N146">
            <v>0</v>
          </cell>
          <cell r="O146">
            <v>21344</v>
          </cell>
          <cell r="P146">
            <v>0</v>
          </cell>
          <cell r="Q146">
            <v>0</v>
          </cell>
          <cell r="R146">
            <v>15500</v>
          </cell>
          <cell r="S146">
            <v>5844</v>
          </cell>
          <cell r="U146">
            <v>4500</v>
          </cell>
          <cell r="V146">
            <v>2000</v>
          </cell>
          <cell r="W146">
            <v>4000</v>
          </cell>
          <cell r="X146">
            <v>5000</v>
          </cell>
        </row>
        <row r="147">
          <cell r="C147" t="str">
            <v>NIRANJAN SINGH</v>
          </cell>
          <cell r="H147" t="str">
            <v>H</v>
          </cell>
          <cell r="I147">
            <v>20000</v>
          </cell>
          <cell r="J147">
            <v>30</v>
          </cell>
          <cell r="K147">
            <v>27</v>
          </cell>
          <cell r="L147">
            <v>20000</v>
          </cell>
          <cell r="M147">
            <v>1452</v>
          </cell>
          <cell r="N147">
            <v>0</v>
          </cell>
          <cell r="O147">
            <v>21452</v>
          </cell>
          <cell r="P147">
            <v>0</v>
          </cell>
          <cell r="Q147">
            <v>0</v>
          </cell>
          <cell r="R147">
            <v>19500</v>
          </cell>
          <cell r="S147">
            <v>1952</v>
          </cell>
          <cell r="U147">
            <v>4500</v>
          </cell>
          <cell r="V147">
            <v>3000</v>
          </cell>
          <cell r="W147">
            <v>7000</v>
          </cell>
          <cell r="X147">
            <v>5000</v>
          </cell>
        </row>
        <row r="148">
          <cell r="C148" t="str">
            <v>MALLA RAJESH</v>
          </cell>
          <cell r="H148" t="str">
            <v>H</v>
          </cell>
          <cell r="I148">
            <v>17000</v>
          </cell>
          <cell r="J148">
            <v>3</v>
          </cell>
          <cell r="K148">
            <v>0</v>
          </cell>
          <cell r="L148">
            <v>1700</v>
          </cell>
          <cell r="M148">
            <v>0</v>
          </cell>
          <cell r="N148">
            <v>0</v>
          </cell>
          <cell r="O148">
            <v>1700</v>
          </cell>
          <cell r="P148">
            <v>0</v>
          </cell>
          <cell r="Q148">
            <v>0</v>
          </cell>
          <cell r="R148">
            <v>1700</v>
          </cell>
          <cell r="S148">
            <v>0</v>
          </cell>
          <cell r="U148">
            <v>1700</v>
          </cell>
          <cell r="V148">
            <v>0</v>
          </cell>
          <cell r="W148">
            <v>0</v>
          </cell>
          <cell r="X148">
            <v>0</v>
          </cell>
        </row>
        <row r="149">
          <cell r="C149" t="str">
            <v>ANUJ KUMAR</v>
          </cell>
          <cell r="F149" t="str">
            <v>40634128682</v>
          </cell>
          <cell r="H149" t="str">
            <v>R</v>
          </cell>
          <cell r="I149">
            <v>26000</v>
          </cell>
          <cell r="J149">
            <v>14</v>
          </cell>
          <cell r="K149">
            <v>0</v>
          </cell>
          <cell r="L149">
            <v>12133.333333333332</v>
          </cell>
          <cell r="M149">
            <v>0</v>
          </cell>
          <cell r="N149">
            <v>0</v>
          </cell>
          <cell r="O149">
            <v>12133.333333333332</v>
          </cell>
          <cell r="P149">
            <v>0</v>
          </cell>
          <cell r="Q149">
            <v>0</v>
          </cell>
          <cell r="R149">
            <v>11000</v>
          </cell>
          <cell r="S149">
            <v>1133</v>
          </cell>
          <cell r="U149">
            <v>2000</v>
          </cell>
          <cell r="V149">
            <v>0</v>
          </cell>
          <cell r="W149">
            <v>4000</v>
          </cell>
          <cell r="X149">
            <v>5000</v>
          </cell>
        </row>
        <row r="150">
          <cell r="C150" t="str">
            <v>GOLU KUMAR</v>
          </cell>
          <cell r="F150" t="str">
            <v>9508161452</v>
          </cell>
          <cell r="H150" t="str">
            <v>K</v>
          </cell>
          <cell r="I150">
            <v>21000</v>
          </cell>
          <cell r="J150">
            <v>14</v>
          </cell>
          <cell r="K150">
            <v>0</v>
          </cell>
          <cell r="L150">
            <v>9800</v>
          </cell>
          <cell r="M150">
            <v>0</v>
          </cell>
          <cell r="N150">
            <v>0</v>
          </cell>
          <cell r="O150">
            <v>9800</v>
          </cell>
          <cell r="P150">
            <v>0</v>
          </cell>
          <cell r="Q150">
            <v>0</v>
          </cell>
          <cell r="R150">
            <v>9000</v>
          </cell>
          <cell r="S150">
            <v>800</v>
          </cell>
          <cell r="U150">
            <v>2000</v>
          </cell>
          <cell r="V150">
            <v>0</v>
          </cell>
          <cell r="W150">
            <v>5000</v>
          </cell>
          <cell r="X150">
            <v>2000</v>
          </cell>
        </row>
        <row r="151">
          <cell r="C151" t="str">
            <v>RAJU KUMAR</v>
          </cell>
          <cell r="F151" t="str">
            <v>50100529763361</v>
          </cell>
          <cell r="H151" t="str">
            <v>K</v>
          </cell>
          <cell r="I151">
            <v>21000</v>
          </cell>
          <cell r="J151">
            <v>14</v>
          </cell>
          <cell r="K151">
            <v>0</v>
          </cell>
          <cell r="L151">
            <v>9800</v>
          </cell>
          <cell r="M151">
            <v>0</v>
          </cell>
          <cell r="N151">
            <v>0</v>
          </cell>
          <cell r="O151">
            <v>9800</v>
          </cell>
          <cell r="P151">
            <v>0</v>
          </cell>
          <cell r="Q151">
            <v>0</v>
          </cell>
          <cell r="R151">
            <v>7000</v>
          </cell>
          <cell r="S151">
            <v>2800</v>
          </cell>
          <cell r="U151">
            <v>2000</v>
          </cell>
          <cell r="V151">
            <v>0</v>
          </cell>
          <cell r="W151">
            <v>5000</v>
          </cell>
          <cell r="X151">
            <v>0</v>
          </cell>
        </row>
        <row r="152">
          <cell r="C152" t="str">
            <v>SHIVSAFIR PASWAN</v>
          </cell>
          <cell r="I152">
            <v>400</v>
          </cell>
          <cell r="J152">
            <v>13</v>
          </cell>
          <cell r="K152">
            <v>0</v>
          </cell>
          <cell r="L152">
            <v>5200</v>
          </cell>
          <cell r="M152">
            <v>0</v>
          </cell>
          <cell r="N152">
            <v>0</v>
          </cell>
          <cell r="O152">
            <v>5200</v>
          </cell>
          <cell r="P152">
            <v>0</v>
          </cell>
          <cell r="Q152">
            <v>0</v>
          </cell>
          <cell r="R152">
            <v>0</v>
          </cell>
          <cell r="S152">
            <v>5200</v>
          </cell>
          <cell r="U152">
            <v>0</v>
          </cell>
          <cell r="V152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r.25"/>
      <sheetName val="Apr.25"/>
      <sheetName val="May.25"/>
      <sheetName val="Jun.25"/>
      <sheetName val="May.25 (2)"/>
      <sheetName val="Jun.25 duplicate"/>
      <sheetName val="Jul.25"/>
      <sheetName val="Aug.25"/>
      <sheetName val="Sep.25"/>
      <sheetName val="Oct.25"/>
      <sheetName val="Nov.25"/>
      <sheetName val="Dec.25"/>
      <sheetName val="Jan.26"/>
      <sheetName val="Feb.26"/>
      <sheetName val="Mar.26"/>
      <sheetName val="SURNDRA"/>
      <sheetName val="PINTU"/>
      <sheetName val="Mar.25 to May.25"/>
      <sheetName val="Staff (Mar.25 to May.25)"/>
      <sheetName val="Jun.25 to Oct.25"/>
      <sheetName val="Nov.25 to Jan.26"/>
      <sheetName val="labour(Mar.25 to  May.25)"/>
      <sheetName val="Staff (Jun.25 to Oct.25)"/>
      <sheetName val="labour(Jun.25 to Oct.25)"/>
      <sheetName val="labour(Nov.25 to Jan.26)"/>
      <sheetName val="Staff (Nov.25 to Jan.26)"/>
      <sheetName val="Sheet1"/>
      <sheetName val="Sheet2"/>
      <sheetName val="Feb.26 to Apr.26"/>
      <sheetName val="Sheet4"/>
      <sheetName val="Jun.25 (2)"/>
      <sheetName val="Jul.25 (2)"/>
      <sheetName val="Sheet3"/>
      <sheetName val="Sheet5"/>
      <sheetName val="Sheet6"/>
      <sheetName val="Sheet7"/>
      <sheetName val="Sheet8"/>
      <sheetName val="Staff (Mar.26 to Apr.26)"/>
      <sheetName val="labour(Feb.26 to Apr.26)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30</v>
          </cell>
          <cell r="L5">
            <v>63499.999999999993</v>
          </cell>
          <cell r="M5">
            <v>0</v>
          </cell>
          <cell r="N5">
            <v>0</v>
          </cell>
          <cell r="O5">
            <v>63499.999999999993</v>
          </cell>
        </row>
        <row r="6">
          <cell r="B6">
            <v>11435</v>
          </cell>
          <cell r="C6" t="str">
            <v>CHANDRA SEKHAR SHARE PUPPALA</v>
          </cell>
          <cell r="D6" t="str">
            <v>ICICI</v>
          </cell>
          <cell r="E6" t="str">
            <v>SECUNDERABAD</v>
          </cell>
          <cell r="F6" t="str">
            <v>004801542856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30</v>
          </cell>
          <cell r="L6">
            <v>63499.999999999993</v>
          </cell>
          <cell r="M6">
            <v>0</v>
          </cell>
          <cell r="N6">
            <v>0</v>
          </cell>
          <cell r="O6">
            <v>63499.999999999993</v>
          </cell>
        </row>
        <row r="7">
          <cell r="B7">
            <v>3</v>
          </cell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29</v>
          </cell>
          <cell r="L7">
            <v>35670</v>
          </cell>
          <cell r="M7">
            <v>0</v>
          </cell>
          <cell r="N7">
            <v>1950</v>
          </cell>
          <cell r="O7">
            <v>37620</v>
          </cell>
        </row>
        <row r="8">
          <cell r="B8">
            <v>5</v>
          </cell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28</v>
          </cell>
          <cell r="L8">
            <v>49000</v>
          </cell>
          <cell r="M8">
            <v>0</v>
          </cell>
          <cell r="N8">
            <v>1900</v>
          </cell>
          <cell r="O8">
            <v>50900</v>
          </cell>
        </row>
        <row r="9">
          <cell r="B9">
            <v>14</v>
          </cell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29</v>
          </cell>
          <cell r="L9">
            <v>29241.666666666668</v>
          </cell>
          <cell r="M9">
            <v>0</v>
          </cell>
          <cell r="N9">
            <v>3250</v>
          </cell>
          <cell r="O9">
            <v>32491.666666666668</v>
          </cell>
        </row>
        <row r="10">
          <cell r="B10">
            <v>21</v>
          </cell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30</v>
          </cell>
          <cell r="L10">
            <v>51000</v>
          </cell>
          <cell r="M10">
            <v>0</v>
          </cell>
          <cell r="N10">
            <v>2000</v>
          </cell>
          <cell r="O10">
            <v>53000</v>
          </cell>
        </row>
        <row r="11">
          <cell r="B11">
            <v>22</v>
          </cell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30</v>
          </cell>
          <cell r="L11">
            <v>38500</v>
          </cell>
          <cell r="M11">
            <v>0</v>
          </cell>
          <cell r="N11">
            <v>3500</v>
          </cell>
          <cell r="O11">
            <v>42000</v>
          </cell>
        </row>
        <row r="12">
          <cell r="B12">
            <v>30</v>
          </cell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30</v>
          </cell>
          <cell r="L12">
            <v>46500</v>
          </cell>
          <cell r="M12">
            <v>0</v>
          </cell>
          <cell r="N12">
            <v>5500</v>
          </cell>
          <cell r="O12">
            <v>52000</v>
          </cell>
        </row>
        <row r="13">
          <cell r="B13">
            <v>33</v>
          </cell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30</v>
          </cell>
          <cell r="L13">
            <v>25500</v>
          </cell>
          <cell r="M13">
            <v>0</v>
          </cell>
          <cell r="N13">
            <v>3900</v>
          </cell>
          <cell r="O13">
            <v>29400</v>
          </cell>
        </row>
        <row r="14">
          <cell r="B14">
            <v>36</v>
          </cell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30</v>
          </cell>
          <cell r="L14">
            <v>32000.000000000004</v>
          </cell>
          <cell r="M14">
            <v>0</v>
          </cell>
          <cell r="N14">
            <v>2100</v>
          </cell>
          <cell r="O14">
            <v>34100</v>
          </cell>
        </row>
        <row r="15">
          <cell r="B15">
            <v>91</v>
          </cell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17.5</v>
          </cell>
          <cell r="L15">
            <v>23216.666666666668</v>
          </cell>
          <cell r="M15">
            <v>0</v>
          </cell>
          <cell r="N15">
            <v>1375</v>
          </cell>
          <cell r="O15">
            <v>24591.666666666668</v>
          </cell>
        </row>
        <row r="16">
          <cell r="B16">
            <v>95</v>
          </cell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30</v>
          </cell>
          <cell r="L16">
            <v>36000</v>
          </cell>
          <cell r="M16">
            <v>0</v>
          </cell>
          <cell r="N16">
            <v>1800</v>
          </cell>
          <cell r="O16">
            <v>37800</v>
          </cell>
        </row>
        <row r="17">
          <cell r="B17">
            <v>142</v>
          </cell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14</v>
          </cell>
          <cell r="L17">
            <v>22400</v>
          </cell>
          <cell r="M17">
            <v>0</v>
          </cell>
          <cell r="N17">
            <v>1700</v>
          </cell>
          <cell r="O17">
            <v>24100</v>
          </cell>
        </row>
        <row r="18">
          <cell r="B18">
            <v>159</v>
          </cell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26</v>
          </cell>
          <cell r="L18">
            <v>32500</v>
          </cell>
          <cell r="M18">
            <v>0</v>
          </cell>
          <cell r="N18">
            <v>3800</v>
          </cell>
          <cell r="O18">
            <v>36300</v>
          </cell>
        </row>
        <row r="19">
          <cell r="B19">
            <v>175</v>
          </cell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25</v>
          </cell>
          <cell r="L19">
            <v>26250</v>
          </cell>
          <cell r="M19">
            <v>0</v>
          </cell>
          <cell r="N19">
            <v>2500</v>
          </cell>
          <cell r="O19">
            <v>28750</v>
          </cell>
        </row>
        <row r="20">
          <cell r="B20">
            <v>213</v>
          </cell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22</v>
          </cell>
          <cell r="L20">
            <v>26400</v>
          </cell>
          <cell r="M20">
            <v>0</v>
          </cell>
          <cell r="N20">
            <v>1600</v>
          </cell>
          <cell r="O20">
            <v>28000</v>
          </cell>
        </row>
        <row r="21">
          <cell r="B21">
            <v>258</v>
          </cell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27</v>
          </cell>
          <cell r="L21">
            <v>32400</v>
          </cell>
          <cell r="M21">
            <v>0</v>
          </cell>
          <cell r="N21">
            <v>1650</v>
          </cell>
          <cell r="O21">
            <v>34050</v>
          </cell>
        </row>
        <row r="22">
          <cell r="B22">
            <v>10435</v>
          </cell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24</v>
          </cell>
          <cell r="L22">
            <v>25200</v>
          </cell>
          <cell r="M22">
            <v>0</v>
          </cell>
          <cell r="N22">
            <v>1500</v>
          </cell>
          <cell r="O22">
            <v>26700</v>
          </cell>
        </row>
        <row r="23">
          <cell r="B23">
            <v>10442</v>
          </cell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31500</v>
          </cell>
          <cell r="J23">
            <v>30</v>
          </cell>
          <cell r="L23">
            <v>31500</v>
          </cell>
          <cell r="M23">
            <v>0</v>
          </cell>
          <cell r="N23">
            <v>1900</v>
          </cell>
          <cell r="O23">
            <v>33400</v>
          </cell>
        </row>
        <row r="24">
          <cell r="B24">
            <v>10483</v>
          </cell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30</v>
          </cell>
          <cell r="K24">
            <v>0</v>
          </cell>
          <cell r="L24">
            <v>10000</v>
          </cell>
          <cell r="M24">
            <v>0</v>
          </cell>
          <cell r="N24">
            <v>0</v>
          </cell>
          <cell r="O24">
            <v>10000</v>
          </cell>
        </row>
        <row r="25">
          <cell r="B25">
            <v>10497</v>
          </cell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30500</v>
          </cell>
          <cell r="J25">
            <v>30</v>
          </cell>
          <cell r="L25">
            <v>30500</v>
          </cell>
          <cell r="M25">
            <v>0</v>
          </cell>
          <cell r="N25">
            <v>3400</v>
          </cell>
          <cell r="O25">
            <v>33900</v>
          </cell>
        </row>
        <row r="26">
          <cell r="B26">
            <v>10660</v>
          </cell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10865</v>
          </cell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21</v>
          </cell>
          <cell r="L27">
            <v>20860</v>
          </cell>
          <cell r="M27">
            <v>0</v>
          </cell>
          <cell r="N27">
            <v>2100</v>
          </cell>
          <cell r="O27">
            <v>22960</v>
          </cell>
        </row>
        <row r="28">
          <cell r="B28">
            <v>10990</v>
          </cell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50500</v>
          </cell>
          <cell r="J28">
            <v>29</v>
          </cell>
          <cell r="L28">
            <v>52303.571428571435</v>
          </cell>
          <cell r="M28">
            <v>0</v>
          </cell>
          <cell r="N28">
            <v>0</v>
          </cell>
          <cell r="O28">
            <v>52303.571428571435</v>
          </cell>
        </row>
        <row r="29">
          <cell r="B29">
            <v>11145</v>
          </cell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25</v>
          </cell>
          <cell r="L29">
            <v>20833.333333333336</v>
          </cell>
          <cell r="M29">
            <v>0</v>
          </cell>
          <cell r="N29">
            <v>2500</v>
          </cell>
          <cell r="O29">
            <v>23333.333333333336</v>
          </cell>
        </row>
        <row r="30">
          <cell r="B30">
            <v>10540</v>
          </cell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30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</row>
        <row r="31">
          <cell r="B31">
            <v>11336</v>
          </cell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28</v>
          </cell>
          <cell r="L31">
            <v>23800</v>
          </cell>
          <cell r="M31">
            <v>0</v>
          </cell>
          <cell r="N31">
            <v>4400</v>
          </cell>
          <cell r="O31">
            <v>28200</v>
          </cell>
        </row>
        <row r="32">
          <cell r="B32">
            <v>10430</v>
          </cell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28000</v>
          </cell>
          <cell r="J32">
            <v>28</v>
          </cell>
          <cell r="L32">
            <v>26133.333333333336</v>
          </cell>
          <cell r="M32">
            <v>0</v>
          </cell>
          <cell r="N32">
            <v>0</v>
          </cell>
          <cell r="O32">
            <v>26133.333333333336</v>
          </cell>
        </row>
        <row r="33">
          <cell r="B33">
            <v>10586</v>
          </cell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27000</v>
          </cell>
          <cell r="J33">
            <v>31</v>
          </cell>
          <cell r="L33">
            <v>27900</v>
          </cell>
          <cell r="M33">
            <v>0</v>
          </cell>
          <cell r="N33">
            <v>1500</v>
          </cell>
          <cell r="O33">
            <v>29400</v>
          </cell>
        </row>
        <row r="34">
          <cell r="B34">
            <v>10758</v>
          </cell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28000</v>
          </cell>
          <cell r="J34">
            <v>30</v>
          </cell>
          <cell r="L34">
            <v>28000</v>
          </cell>
          <cell r="M34">
            <v>0</v>
          </cell>
          <cell r="N34">
            <v>2100</v>
          </cell>
          <cell r="O34">
            <v>30100</v>
          </cell>
        </row>
        <row r="35">
          <cell r="B35">
            <v>10950</v>
          </cell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27</v>
          </cell>
          <cell r="L35">
            <v>27450</v>
          </cell>
          <cell r="M35">
            <v>0</v>
          </cell>
          <cell r="N35">
            <v>1500</v>
          </cell>
          <cell r="O35">
            <v>28950</v>
          </cell>
        </row>
        <row r="36">
          <cell r="B36">
            <v>11550</v>
          </cell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22500</v>
          </cell>
          <cell r="J36">
            <v>27</v>
          </cell>
          <cell r="L36">
            <v>20250</v>
          </cell>
          <cell r="M36">
            <v>0</v>
          </cell>
          <cell r="N36">
            <v>2000</v>
          </cell>
          <cell r="O36">
            <v>22250</v>
          </cell>
        </row>
        <row r="37">
          <cell r="B37">
            <v>16</v>
          </cell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500</v>
          </cell>
          <cell r="J37">
            <v>27</v>
          </cell>
          <cell r="K37">
            <v>91</v>
          </cell>
          <cell r="L37">
            <v>13500</v>
          </cell>
          <cell r="M37">
            <v>11375</v>
          </cell>
          <cell r="N37">
            <v>600</v>
          </cell>
          <cell r="O37">
            <v>25475</v>
          </cell>
        </row>
        <row r="38">
          <cell r="B38">
            <v>10488</v>
          </cell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440</v>
          </cell>
          <cell r="J38">
            <v>5</v>
          </cell>
          <cell r="K38">
            <v>15</v>
          </cell>
          <cell r="L38">
            <v>2200</v>
          </cell>
          <cell r="M38">
            <v>1650</v>
          </cell>
          <cell r="N38">
            <v>0</v>
          </cell>
          <cell r="O38">
            <v>3850</v>
          </cell>
        </row>
        <row r="39">
          <cell r="B39">
            <v>10542</v>
          </cell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14</v>
          </cell>
          <cell r="K39">
            <v>0</v>
          </cell>
          <cell r="L39">
            <v>10733.333333333332</v>
          </cell>
          <cell r="M39">
            <v>0</v>
          </cell>
          <cell r="N39">
            <v>1400</v>
          </cell>
          <cell r="O39">
            <v>12133.333333333332</v>
          </cell>
        </row>
        <row r="40">
          <cell r="B40">
            <v>11428</v>
          </cell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24000</v>
          </cell>
          <cell r="J40">
            <v>30</v>
          </cell>
          <cell r="K40">
            <v>0</v>
          </cell>
          <cell r="L40">
            <v>24000</v>
          </cell>
          <cell r="M40">
            <v>0</v>
          </cell>
          <cell r="N40">
            <v>0</v>
          </cell>
          <cell r="O40">
            <v>24000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30</v>
          </cell>
          <cell r="K41">
            <v>0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</row>
        <row r="42">
          <cell r="B42">
            <v>11571</v>
          </cell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28</v>
          </cell>
          <cell r="K42">
            <v>0</v>
          </cell>
          <cell r="L42">
            <v>16800</v>
          </cell>
          <cell r="M42">
            <v>0</v>
          </cell>
          <cell r="N42">
            <v>0</v>
          </cell>
          <cell r="O42">
            <v>16800</v>
          </cell>
        </row>
        <row r="43">
          <cell r="B43">
            <v>11589</v>
          </cell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30</v>
          </cell>
          <cell r="K43">
            <v>5</v>
          </cell>
          <cell r="L43">
            <v>21000</v>
          </cell>
          <cell r="M43">
            <v>282</v>
          </cell>
          <cell r="N43">
            <v>0</v>
          </cell>
          <cell r="O43">
            <v>21282</v>
          </cell>
        </row>
        <row r="44">
          <cell r="B44">
            <v>11618</v>
          </cell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19000</v>
          </cell>
          <cell r="J44">
            <v>29.5</v>
          </cell>
          <cell r="K44">
            <v>0</v>
          </cell>
          <cell r="L44">
            <v>18683.333333333336</v>
          </cell>
          <cell r="M44">
            <v>0</v>
          </cell>
          <cell r="N44">
            <v>0</v>
          </cell>
          <cell r="O44">
            <v>18683.333333333336</v>
          </cell>
        </row>
        <row r="45">
          <cell r="B45">
            <v>10480</v>
          </cell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420</v>
          </cell>
          <cell r="J45">
            <v>30</v>
          </cell>
          <cell r="K45">
            <v>97</v>
          </cell>
          <cell r="L45">
            <v>12600</v>
          </cell>
          <cell r="M45">
            <v>10185</v>
          </cell>
          <cell r="N45">
            <v>0</v>
          </cell>
          <cell r="O45">
            <v>22785</v>
          </cell>
        </row>
        <row r="46">
          <cell r="B46">
            <v>11531</v>
          </cell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11411</v>
          </cell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380</v>
          </cell>
          <cell r="J47">
            <v>30</v>
          </cell>
          <cell r="K47">
            <v>113</v>
          </cell>
          <cell r="L47">
            <v>11400</v>
          </cell>
          <cell r="M47">
            <v>10735</v>
          </cell>
          <cell r="N47">
            <v>0</v>
          </cell>
          <cell r="O47">
            <v>22135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18000</v>
          </cell>
          <cell r="J48">
            <v>30</v>
          </cell>
          <cell r="K48">
            <v>0</v>
          </cell>
          <cell r="L48">
            <v>18000</v>
          </cell>
          <cell r="M48">
            <v>0</v>
          </cell>
          <cell r="N48">
            <v>0</v>
          </cell>
          <cell r="O48">
            <v>18000</v>
          </cell>
        </row>
        <row r="49">
          <cell r="B49">
            <v>11676</v>
          </cell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30</v>
          </cell>
          <cell r="K49">
            <v>3</v>
          </cell>
          <cell r="L49">
            <v>21000</v>
          </cell>
          <cell r="M49">
            <v>169</v>
          </cell>
          <cell r="N49">
            <v>0</v>
          </cell>
          <cell r="O49">
            <v>21169</v>
          </cell>
        </row>
        <row r="50">
          <cell r="B50">
            <v>10553</v>
          </cell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26000</v>
          </cell>
          <cell r="J50">
            <v>29</v>
          </cell>
          <cell r="K50">
            <v>0</v>
          </cell>
          <cell r="L50">
            <v>25133.333333333332</v>
          </cell>
          <cell r="M50">
            <v>0</v>
          </cell>
          <cell r="N50">
            <v>1500</v>
          </cell>
          <cell r="O50">
            <v>26633.333333333332</v>
          </cell>
        </row>
        <row r="51">
          <cell r="B51">
            <v>10940</v>
          </cell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11542</v>
          </cell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23000</v>
          </cell>
          <cell r="J52">
            <v>29</v>
          </cell>
          <cell r="K52">
            <v>10</v>
          </cell>
          <cell r="L52">
            <v>22233.333333333332</v>
          </cell>
          <cell r="M52">
            <v>618</v>
          </cell>
          <cell r="N52">
            <v>0</v>
          </cell>
          <cell r="O52">
            <v>22851.333333333332</v>
          </cell>
        </row>
        <row r="53">
          <cell r="B53">
            <v>10449</v>
          </cell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640</v>
          </cell>
          <cell r="J53">
            <v>24</v>
          </cell>
          <cell r="K53">
            <v>0</v>
          </cell>
          <cell r="L53">
            <v>15360</v>
          </cell>
          <cell r="M53">
            <v>0</v>
          </cell>
          <cell r="N53">
            <v>0</v>
          </cell>
          <cell r="O53">
            <v>15360</v>
          </cell>
        </row>
        <row r="54">
          <cell r="B54">
            <v>11344</v>
          </cell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11455</v>
          </cell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196</v>
          </cell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25250</v>
          </cell>
          <cell r="J56">
            <v>15</v>
          </cell>
          <cell r="K56">
            <v>2</v>
          </cell>
          <cell r="L56">
            <v>12625</v>
          </cell>
          <cell r="M56">
            <v>136</v>
          </cell>
          <cell r="N56">
            <v>0</v>
          </cell>
          <cell r="O56">
            <v>12761</v>
          </cell>
        </row>
        <row r="57">
          <cell r="B57">
            <v>10499</v>
          </cell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415</v>
          </cell>
          <cell r="J57">
            <v>30</v>
          </cell>
          <cell r="K57">
            <v>105</v>
          </cell>
          <cell r="L57">
            <v>12450</v>
          </cell>
          <cell r="M57">
            <v>10893.75</v>
          </cell>
          <cell r="N57">
            <v>0</v>
          </cell>
          <cell r="O57">
            <v>23343.75</v>
          </cell>
        </row>
        <row r="58">
          <cell r="B58">
            <v>10614</v>
          </cell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10723</v>
          </cell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25000</v>
          </cell>
          <cell r="J59">
            <v>30</v>
          </cell>
          <cell r="K59">
            <v>5</v>
          </cell>
          <cell r="L59">
            <v>25000</v>
          </cell>
          <cell r="M59">
            <v>336</v>
          </cell>
          <cell r="N59">
            <v>0</v>
          </cell>
          <cell r="O59">
            <v>25336</v>
          </cell>
        </row>
        <row r="60">
          <cell r="B60">
            <v>11250</v>
          </cell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26000</v>
          </cell>
          <cell r="J60">
            <v>30</v>
          </cell>
          <cell r="L60">
            <v>26000</v>
          </cell>
          <cell r="M60">
            <v>0</v>
          </cell>
          <cell r="N60">
            <v>0</v>
          </cell>
          <cell r="O60">
            <v>26000</v>
          </cell>
        </row>
        <row r="61">
          <cell r="B61">
            <v>11012</v>
          </cell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30</v>
          </cell>
          <cell r="K61">
            <v>1</v>
          </cell>
          <cell r="L61">
            <v>25000</v>
          </cell>
          <cell r="M61">
            <v>67</v>
          </cell>
          <cell r="N61">
            <v>0</v>
          </cell>
          <cell r="O61">
            <v>25067</v>
          </cell>
        </row>
        <row r="62">
          <cell r="B62">
            <v>10746</v>
          </cell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11287</v>
          </cell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25000</v>
          </cell>
          <cell r="J63">
            <v>30</v>
          </cell>
          <cell r="K63">
            <v>3</v>
          </cell>
          <cell r="L63">
            <v>25000</v>
          </cell>
          <cell r="M63">
            <v>202</v>
          </cell>
          <cell r="N63">
            <v>0</v>
          </cell>
          <cell r="O63">
            <v>25202</v>
          </cell>
        </row>
        <row r="64">
          <cell r="B64">
            <v>11424</v>
          </cell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395</v>
          </cell>
          <cell r="J64">
            <v>30</v>
          </cell>
          <cell r="K64">
            <v>94</v>
          </cell>
          <cell r="L64">
            <v>11850</v>
          </cell>
          <cell r="M64">
            <v>9282.5</v>
          </cell>
          <cell r="N64">
            <v>0</v>
          </cell>
          <cell r="O64">
            <v>21132.5</v>
          </cell>
        </row>
        <row r="65">
          <cell r="B65">
            <v>10729</v>
          </cell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11332</v>
          </cell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11439</v>
          </cell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11240</v>
          </cell>
          <cell r="C68" t="str">
            <v>RAHUL KUMAR</v>
          </cell>
          <cell r="H68" t="str">
            <v>R</v>
          </cell>
          <cell r="I68">
            <v>335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11675</v>
          </cell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30</v>
          </cell>
          <cell r="K69">
            <v>3</v>
          </cell>
          <cell r="L69">
            <v>21000</v>
          </cell>
          <cell r="M69">
            <v>169</v>
          </cell>
          <cell r="N69">
            <v>0</v>
          </cell>
          <cell r="O69">
            <v>21169</v>
          </cell>
        </row>
        <row r="70">
          <cell r="B70">
            <v>11662</v>
          </cell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10805</v>
          </cell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25500</v>
          </cell>
          <cell r="J71">
            <v>28.5</v>
          </cell>
          <cell r="K71">
            <v>0</v>
          </cell>
          <cell r="L71">
            <v>24225</v>
          </cell>
          <cell r="M71">
            <v>0</v>
          </cell>
          <cell r="N71">
            <v>0</v>
          </cell>
          <cell r="O71">
            <v>24225</v>
          </cell>
        </row>
        <row r="72">
          <cell r="B72">
            <v>11246</v>
          </cell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30</v>
          </cell>
          <cell r="K72">
            <v>5</v>
          </cell>
          <cell r="L72">
            <v>24000</v>
          </cell>
          <cell r="M72">
            <v>323</v>
          </cell>
          <cell r="N72">
            <v>0</v>
          </cell>
          <cell r="O72">
            <v>24323</v>
          </cell>
        </row>
        <row r="73">
          <cell r="B73">
            <v>11596</v>
          </cell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350</v>
          </cell>
          <cell r="J73">
            <v>29.5</v>
          </cell>
          <cell r="K73">
            <v>88</v>
          </cell>
          <cell r="L73">
            <v>10325</v>
          </cell>
          <cell r="M73">
            <v>7700</v>
          </cell>
          <cell r="N73">
            <v>0</v>
          </cell>
          <cell r="O73">
            <v>18025</v>
          </cell>
        </row>
        <row r="74">
          <cell r="B74">
            <v>10487</v>
          </cell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460</v>
          </cell>
          <cell r="J74">
            <v>6</v>
          </cell>
          <cell r="K74">
            <v>16</v>
          </cell>
          <cell r="L74">
            <v>2760</v>
          </cell>
          <cell r="M74">
            <v>1840</v>
          </cell>
          <cell r="N74">
            <v>0</v>
          </cell>
          <cell r="O74">
            <v>4600</v>
          </cell>
        </row>
        <row r="75">
          <cell r="B75">
            <v>10705</v>
          </cell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465</v>
          </cell>
          <cell r="J75">
            <v>26</v>
          </cell>
          <cell r="K75">
            <v>93</v>
          </cell>
          <cell r="L75">
            <v>12090</v>
          </cell>
          <cell r="M75">
            <v>10811.25</v>
          </cell>
          <cell r="N75">
            <v>0</v>
          </cell>
          <cell r="O75">
            <v>22901.25</v>
          </cell>
        </row>
        <row r="76">
          <cell r="B76">
            <v>10734</v>
          </cell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25000</v>
          </cell>
          <cell r="J76">
            <v>30</v>
          </cell>
          <cell r="K76">
            <v>0</v>
          </cell>
          <cell r="L76">
            <v>25000</v>
          </cell>
          <cell r="M76">
            <v>0</v>
          </cell>
          <cell r="N76">
            <v>0</v>
          </cell>
          <cell r="O76">
            <v>25000</v>
          </cell>
        </row>
        <row r="77">
          <cell r="B77">
            <v>11024</v>
          </cell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24250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1500</v>
          </cell>
          <cell r="O77">
            <v>1500</v>
          </cell>
        </row>
        <row r="78">
          <cell r="B78">
            <v>11297</v>
          </cell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25000</v>
          </cell>
          <cell r="J78">
            <v>28</v>
          </cell>
          <cell r="K78">
            <v>2</v>
          </cell>
          <cell r="L78">
            <v>23333.333333333336</v>
          </cell>
          <cell r="M78">
            <v>134</v>
          </cell>
          <cell r="N78">
            <v>0</v>
          </cell>
          <cell r="O78">
            <v>23467.333333333336</v>
          </cell>
        </row>
        <row r="79">
          <cell r="B79">
            <v>10731</v>
          </cell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410</v>
          </cell>
          <cell r="J79">
            <v>30</v>
          </cell>
          <cell r="K79">
            <v>96</v>
          </cell>
          <cell r="L79">
            <v>12300</v>
          </cell>
          <cell r="M79">
            <v>9840</v>
          </cell>
          <cell r="N79">
            <v>0</v>
          </cell>
          <cell r="O79">
            <v>22140</v>
          </cell>
        </row>
        <row r="80">
          <cell r="B80">
            <v>11388</v>
          </cell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22000</v>
          </cell>
          <cell r="J80">
            <v>28</v>
          </cell>
          <cell r="K80">
            <v>0</v>
          </cell>
          <cell r="L80">
            <v>20533.333333333336</v>
          </cell>
          <cell r="M80">
            <v>0</v>
          </cell>
          <cell r="N80">
            <v>0</v>
          </cell>
          <cell r="O80">
            <v>20533.333333333336</v>
          </cell>
        </row>
        <row r="81">
          <cell r="B81">
            <v>11302</v>
          </cell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24000</v>
          </cell>
          <cell r="J81">
            <v>21</v>
          </cell>
          <cell r="K81">
            <v>1</v>
          </cell>
          <cell r="L81">
            <v>16800</v>
          </cell>
          <cell r="M81">
            <v>65</v>
          </cell>
          <cell r="N81">
            <v>0</v>
          </cell>
          <cell r="O81">
            <v>16865</v>
          </cell>
        </row>
        <row r="82">
          <cell r="B82">
            <v>11680</v>
          </cell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10000</v>
          </cell>
          <cell r="J82">
            <v>29</v>
          </cell>
          <cell r="L82">
            <v>9666.6666666666661</v>
          </cell>
          <cell r="M82">
            <v>0</v>
          </cell>
          <cell r="N82">
            <v>0</v>
          </cell>
          <cell r="O82">
            <v>9666.6666666666661</v>
          </cell>
        </row>
        <row r="83">
          <cell r="B83">
            <v>11370</v>
          </cell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16500</v>
          </cell>
          <cell r="J83">
            <v>35</v>
          </cell>
          <cell r="L83">
            <v>19250</v>
          </cell>
          <cell r="M83">
            <v>0</v>
          </cell>
          <cell r="N83">
            <v>0</v>
          </cell>
          <cell r="O83">
            <v>19250</v>
          </cell>
        </row>
        <row r="84">
          <cell r="B84">
            <v>11048</v>
          </cell>
          <cell r="C84" t="str">
            <v>MALLI SUMAN</v>
          </cell>
          <cell r="E84" t="str">
            <v>TORANAGALLU</v>
          </cell>
          <cell r="F84" t="str">
            <v>42108897563</v>
          </cell>
          <cell r="G84" t="str">
            <v>SBIN0015709</v>
          </cell>
          <cell r="H84" t="str">
            <v>H</v>
          </cell>
          <cell r="I84">
            <v>17000</v>
          </cell>
          <cell r="J84">
            <v>28</v>
          </cell>
          <cell r="K84">
            <v>0</v>
          </cell>
          <cell r="L84">
            <v>15866.666666666666</v>
          </cell>
          <cell r="M84">
            <v>0</v>
          </cell>
          <cell r="N84">
            <v>0</v>
          </cell>
          <cell r="O84">
            <v>15866.666666666666</v>
          </cell>
        </row>
        <row r="85">
          <cell r="B85">
            <v>11701</v>
          </cell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29500</v>
          </cell>
          <cell r="J85">
            <v>18</v>
          </cell>
          <cell r="L85">
            <v>17700</v>
          </cell>
          <cell r="M85">
            <v>0</v>
          </cell>
          <cell r="N85">
            <v>1000</v>
          </cell>
          <cell r="O85">
            <v>18700</v>
          </cell>
        </row>
        <row r="86">
          <cell r="B86">
            <v>11719</v>
          </cell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28000</v>
          </cell>
          <cell r="J86">
            <v>29</v>
          </cell>
          <cell r="L86">
            <v>27066.666666666668</v>
          </cell>
          <cell r="M86">
            <v>0</v>
          </cell>
          <cell r="N86">
            <v>0</v>
          </cell>
          <cell r="O86">
            <v>27066.666666666668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J87">
            <v>18</v>
          </cell>
          <cell r="L87">
            <v>12000</v>
          </cell>
          <cell r="M87">
            <v>0</v>
          </cell>
          <cell r="N87">
            <v>1000</v>
          </cell>
          <cell r="O87">
            <v>13000</v>
          </cell>
        </row>
        <row r="88">
          <cell r="B88">
            <v>11824</v>
          </cell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28</v>
          </cell>
          <cell r="K88">
            <v>99</v>
          </cell>
          <cell r="L88">
            <v>11480</v>
          </cell>
          <cell r="M88">
            <v>10147.5</v>
          </cell>
          <cell r="N88">
            <v>0</v>
          </cell>
          <cell r="O88">
            <v>21627.5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11817</v>
          </cell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J90">
            <v>30</v>
          </cell>
          <cell r="K90">
            <v>96</v>
          </cell>
          <cell r="L90">
            <v>9000</v>
          </cell>
          <cell r="M90">
            <v>7200</v>
          </cell>
          <cell r="N90">
            <v>0</v>
          </cell>
          <cell r="O90">
            <v>16200</v>
          </cell>
        </row>
        <row r="91">
          <cell r="B91">
            <v>11820</v>
          </cell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4</v>
          </cell>
          <cell r="K91">
            <v>0</v>
          </cell>
          <cell r="L91">
            <v>3733.3333333333335</v>
          </cell>
          <cell r="M91">
            <v>0</v>
          </cell>
          <cell r="N91">
            <v>0</v>
          </cell>
          <cell r="O91">
            <v>3733.3333333333335</v>
          </cell>
        </row>
        <row r="92">
          <cell r="B92">
            <v>11818</v>
          </cell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45000</v>
          </cell>
          <cell r="J92">
            <v>29</v>
          </cell>
          <cell r="K92">
            <v>3</v>
          </cell>
          <cell r="L92">
            <v>43500</v>
          </cell>
          <cell r="M92">
            <v>363</v>
          </cell>
          <cell r="N92">
            <v>0</v>
          </cell>
          <cell r="O92">
            <v>43863</v>
          </cell>
        </row>
        <row r="93">
          <cell r="B93">
            <v>11804</v>
          </cell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30</v>
          </cell>
          <cell r="K93">
            <v>0</v>
          </cell>
          <cell r="L93">
            <v>17000</v>
          </cell>
          <cell r="M93">
            <v>0</v>
          </cell>
          <cell r="N93">
            <v>0</v>
          </cell>
          <cell r="O93">
            <v>17000</v>
          </cell>
        </row>
        <row r="94">
          <cell r="B94">
            <v>11806</v>
          </cell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28</v>
          </cell>
          <cell r="K94">
            <v>0</v>
          </cell>
          <cell r="L94">
            <v>15866.666666666666</v>
          </cell>
          <cell r="M94">
            <v>0</v>
          </cell>
          <cell r="N94">
            <v>0</v>
          </cell>
          <cell r="O94">
            <v>15866.666666666666</v>
          </cell>
        </row>
        <row r="95">
          <cell r="B95">
            <v>11807</v>
          </cell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11821</v>
          </cell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30</v>
          </cell>
          <cell r="K96">
            <v>4</v>
          </cell>
          <cell r="L96">
            <v>23000</v>
          </cell>
          <cell r="M96">
            <v>247</v>
          </cell>
          <cell r="N96">
            <v>0</v>
          </cell>
          <cell r="O96">
            <v>23247</v>
          </cell>
        </row>
        <row r="97">
          <cell r="B97">
            <v>11805</v>
          </cell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29</v>
          </cell>
          <cell r="K97">
            <v>0</v>
          </cell>
          <cell r="L97">
            <v>16433.333333333332</v>
          </cell>
          <cell r="M97">
            <v>0</v>
          </cell>
          <cell r="N97">
            <v>0</v>
          </cell>
          <cell r="O97">
            <v>16433.333333333332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11822</v>
          </cell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J99">
            <v>15</v>
          </cell>
          <cell r="K99">
            <v>0</v>
          </cell>
          <cell r="L99">
            <v>8500</v>
          </cell>
          <cell r="M99">
            <v>0</v>
          </cell>
          <cell r="N99">
            <v>0</v>
          </cell>
          <cell r="O99">
            <v>8500</v>
          </cell>
        </row>
        <row r="100">
          <cell r="C100" t="str">
            <v>RAKESH</v>
          </cell>
          <cell r="H100" t="str">
            <v>W</v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11332</v>
          </cell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J101">
            <v>30</v>
          </cell>
          <cell r="K101">
            <v>6</v>
          </cell>
          <cell r="L101">
            <v>23500</v>
          </cell>
          <cell r="M101">
            <v>379</v>
          </cell>
          <cell r="N101">
            <v>0</v>
          </cell>
          <cell r="O101">
            <v>23879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30</v>
          </cell>
          <cell r="K102">
            <v>0</v>
          </cell>
          <cell r="L102">
            <v>20000</v>
          </cell>
          <cell r="M102">
            <v>0</v>
          </cell>
          <cell r="N102">
            <v>0</v>
          </cell>
          <cell r="O102">
            <v>20000</v>
          </cell>
        </row>
        <row r="103">
          <cell r="B103">
            <v>11828</v>
          </cell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4</v>
          </cell>
          <cell r="K103">
            <v>0</v>
          </cell>
          <cell r="L103">
            <v>2666.6666666666665</v>
          </cell>
          <cell r="M103">
            <v>0</v>
          </cell>
          <cell r="N103">
            <v>0</v>
          </cell>
          <cell r="O103">
            <v>2666.6666666666665</v>
          </cell>
        </row>
        <row r="104">
          <cell r="B104">
            <v>11827</v>
          </cell>
          <cell r="C104" t="str">
            <v>MONU KUMAR</v>
          </cell>
          <cell r="F104" t="str">
            <v>7808610062</v>
          </cell>
          <cell r="G104" t="str">
            <v>AIRP0000001</v>
          </cell>
          <cell r="H104" t="str">
            <v>K</v>
          </cell>
          <cell r="I104">
            <v>900</v>
          </cell>
          <cell r="J104">
            <v>30</v>
          </cell>
          <cell r="K104">
            <v>2</v>
          </cell>
          <cell r="L104">
            <v>27000</v>
          </cell>
          <cell r="M104">
            <v>150</v>
          </cell>
          <cell r="N104">
            <v>0</v>
          </cell>
          <cell r="O104">
            <v>27150</v>
          </cell>
        </row>
        <row r="105">
          <cell r="C105" t="str">
            <v>JAGDISH MAHATO</v>
          </cell>
          <cell r="F105" t="str">
            <v>7255974415</v>
          </cell>
          <cell r="G105" t="str">
            <v>AIRP0000001</v>
          </cell>
          <cell r="H105" t="str">
            <v>K</v>
          </cell>
          <cell r="I105">
            <v>900</v>
          </cell>
          <cell r="J105">
            <v>28</v>
          </cell>
          <cell r="K105">
            <v>1</v>
          </cell>
          <cell r="L105">
            <v>25200</v>
          </cell>
          <cell r="M105">
            <v>75</v>
          </cell>
          <cell r="N105">
            <v>0</v>
          </cell>
          <cell r="O105">
            <v>25275</v>
          </cell>
        </row>
        <row r="106">
          <cell r="B106">
            <v>11831</v>
          </cell>
          <cell r="C106" t="str">
            <v>MUNNU KUMAR SINGH</v>
          </cell>
          <cell r="F106" t="str">
            <v>37992759339</v>
          </cell>
          <cell r="G106" t="str">
            <v>SBIN0002971</v>
          </cell>
          <cell r="H106" t="str">
            <v>R</v>
          </cell>
          <cell r="I106">
            <v>1200</v>
          </cell>
          <cell r="J106">
            <v>14</v>
          </cell>
          <cell r="K106">
            <v>1</v>
          </cell>
          <cell r="L106">
            <v>16800</v>
          </cell>
          <cell r="M106">
            <v>100</v>
          </cell>
          <cell r="N106">
            <v>0</v>
          </cell>
          <cell r="O106">
            <v>16900</v>
          </cell>
        </row>
        <row r="107">
          <cell r="B107">
            <v>11830</v>
          </cell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28</v>
          </cell>
          <cell r="K107">
            <v>2</v>
          </cell>
          <cell r="L107">
            <v>25200</v>
          </cell>
          <cell r="M107">
            <v>150</v>
          </cell>
          <cell r="N107">
            <v>0</v>
          </cell>
          <cell r="O107">
            <v>25350</v>
          </cell>
        </row>
        <row r="108">
          <cell r="B108">
            <v>11832</v>
          </cell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1200</v>
          </cell>
          <cell r="J108">
            <v>13.5</v>
          </cell>
          <cell r="K108">
            <v>1</v>
          </cell>
          <cell r="L108">
            <v>16200</v>
          </cell>
          <cell r="M108">
            <v>100</v>
          </cell>
          <cell r="N108">
            <v>0</v>
          </cell>
          <cell r="O108">
            <v>16300</v>
          </cell>
        </row>
        <row r="109">
          <cell r="B109">
            <v>11826</v>
          </cell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J109">
            <v>12</v>
          </cell>
          <cell r="K109">
            <v>2</v>
          </cell>
          <cell r="L109">
            <v>9000</v>
          </cell>
          <cell r="M109">
            <v>125</v>
          </cell>
          <cell r="N109">
            <v>0</v>
          </cell>
          <cell r="O109">
            <v>9125</v>
          </cell>
        </row>
        <row r="110">
          <cell r="B110">
            <v>11833</v>
          </cell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J110">
            <v>29</v>
          </cell>
          <cell r="K110">
            <v>0</v>
          </cell>
          <cell r="L110">
            <v>21266.666666666668</v>
          </cell>
          <cell r="M110">
            <v>0</v>
          </cell>
          <cell r="N110">
            <v>0</v>
          </cell>
          <cell r="O110">
            <v>21266.666666666668</v>
          </cell>
        </row>
        <row r="111">
          <cell r="B111">
            <v>11836</v>
          </cell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J111">
            <v>25</v>
          </cell>
          <cell r="K111">
            <v>0</v>
          </cell>
          <cell r="L111">
            <v>32500</v>
          </cell>
          <cell r="M111">
            <v>0</v>
          </cell>
          <cell r="N111">
            <v>0</v>
          </cell>
          <cell r="O111">
            <v>32500</v>
          </cell>
        </row>
        <row r="112">
          <cell r="B112">
            <v>11837</v>
          </cell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J112">
            <v>1</v>
          </cell>
          <cell r="K112">
            <v>0</v>
          </cell>
          <cell r="L112">
            <v>1200</v>
          </cell>
          <cell r="M112">
            <v>0</v>
          </cell>
          <cell r="N112">
            <v>0</v>
          </cell>
          <cell r="O112">
            <v>1200</v>
          </cell>
        </row>
        <row r="113">
          <cell r="B113">
            <v>11838</v>
          </cell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1200</v>
          </cell>
          <cell r="J113">
            <v>28</v>
          </cell>
          <cell r="K113">
            <v>1</v>
          </cell>
          <cell r="L113">
            <v>33600</v>
          </cell>
          <cell r="M113">
            <v>100</v>
          </cell>
          <cell r="N113">
            <v>0</v>
          </cell>
          <cell r="O113">
            <v>33700</v>
          </cell>
        </row>
        <row r="114">
          <cell r="B114">
            <v>11835</v>
          </cell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J114">
            <v>23</v>
          </cell>
          <cell r="K114">
            <v>0</v>
          </cell>
          <cell r="L114">
            <v>27600</v>
          </cell>
          <cell r="M114">
            <v>0</v>
          </cell>
          <cell r="N114">
            <v>0</v>
          </cell>
          <cell r="O114">
            <v>27600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11834</v>
          </cell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J118">
            <v>1</v>
          </cell>
          <cell r="K118">
            <v>0</v>
          </cell>
          <cell r="L118">
            <v>800</v>
          </cell>
          <cell r="M118">
            <v>0</v>
          </cell>
          <cell r="N118">
            <v>0</v>
          </cell>
          <cell r="O118">
            <v>800</v>
          </cell>
        </row>
        <row r="119">
          <cell r="B119">
            <v>11611</v>
          </cell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30</v>
          </cell>
          <cell r="K119">
            <v>110</v>
          </cell>
          <cell r="L119">
            <v>10500</v>
          </cell>
          <cell r="M119">
            <v>9625</v>
          </cell>
          <cell r="N119">
            <v>0</v>
          </cell>
          <cell r="O119">
            <v>20125</v>
          </cell>
        </row>
        <row r="120">
          <cell r="B120">
            <v>11358</v>
          </cell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I120">
            <v>800</v>
          </cell>
          <cell r="J120">
            <v>27</v>
          </cell>
          <cell r="K120">
            <v>5</v>
          </cell>
          <cell r="L120">
            <v>21600</v>
          </cell>
          <cell r="M120">
            <v>333.33333333333337</v>
          </cell>
          <cell r="N120">
            <v>0</v>
          </cell>
          <cell r="O120">
            <v>21933.333333333332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J121">
            <v>26</v>
          </cell>
          <cell r="K121">
            <v>0</v>
          </cell>
          <cell r="L121">
            <v>23400</v>
          </cell>
          <cell r="M121">
            <v>0</v>
          </cell>
          <cell r="N121">
            <v>0</v>
          </cell>
          <cell r="O121">
            <v>23400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J122">
            <v>22</v>
          </cell>
          <cell r="K122">
            <v>0</v>
          </cell>
          <cell r="L122">
            <v>17600</v>
          </cell>
          <cell r="M122">
            <v>0</v>
          </cell>
          <cell r="N122">
            <v>0</v>
          </cell>
          <cell r="O122">
            <v>17600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J123">
            <v>27</v>
          </cell>
          <cell r="K123">
            <v>0</v>
          </cell>
          <cell r="L123">
            <v>21600</v>
          </cell>
          <cell r="M123">
            <v>0</v>
          </cell>
          <cell r="N123">
            <v>0</v>
          </cell>
          <cell r="O123">
            <v>21600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J124">
            <v>23</v>
          </cell>
          <cell r="K124">
            <v>0</v>
          </cell>
          <cell r="L124">
            <v>20700</v>
          </cell>
          <cell r="M124">
            <v>0</v>
          </cell>
          <cell r="N124">
            <v>0</v>
          </cell>
          <cell r="O124">
            <v>20700</v>
          </cell>
        </row>
        <row r="125">
          <cell r="C125" t="str">
            <v>ROKALLA SYAMSUNDAR</v>
          </cell>
          <cell r="F125" t="str">
            <v>41415841085</v>
          </cell>
          <cell r="G125" t="str">
            <v>SBIN0015709</v>
          </cell>
          <cell r="H125" t="str">
            <v>H</v>
          </cell>
          <cell r="I125">
            <v>17000</v>
          </cell>
          <cell r="J125">
            <v>19</v>
          </cell>
          <cell r="L125">
            <v>10766.666666666666</v>
          </cell>
          <cell r="M125">
            <v>0</v>
          </cell>
          <cell r="N125">
            <v>0</v>
          </cell>
          <cell r="O125">
            <v>10766.666666666666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20</v>
          </cell>
          <cell r="L126">
            <v>11333.333333333332</v>
          </cell>
          <cell r="M126">
            <v>0</v>
          </cell>
          <cell r="N126">
            <v>0</v>
          </cell>
          <cell r="O126">
            <v>11333.333333333332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15</v>
          </cell>
          <cell r="L127">
            <v>13000</v>
          </cell>
          <cell r="M127">
            <v>0</v>
          </cell>
          <cell r="N127">
            <v>0</v>
          </cell>
          <cell r="O127">
            <v>13000</v>
          </cell>
        </row>
        <row r="128">
          <cell r="B128">
            <v>11841</v>
          </cell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11</v>
          </cell>
          <cell r="K128">
            <v>2</v>
          </cell>
          <cell r="L128">
            <v>9166.6666666666679</v>
          </cell>
          <cell r="M128">
            <v>134</v>
          </cell>
          <cell r="N128">
            <v>0</v>
          </cell>
          <cell r="O128">
            <v>9300.6666666666679</v>
          </cell>
        </row>
        <row r="129">
          <cell r="C129" t="str">
            <v>GUDIYA BALARAM SAHU</v>
          </cell>
          <cell r="H129" t="str">
            <v>K</v>
          </cell>
          <cell r="I129">
            <v>18000</v>
          </cell>
          <cell r="J129">
            <v>12</v>
          </cell>
          <cell r="L129">
            <v>7200</v>
          </cell>
          <cell r="M129">
            <v>0</v>
          </cell>
          <cell r="N129">
            <v>0</v>
          </cell>
          <cell r="O129">
            <v>7200</v>
          </cell>
        </row>
        <row r="130"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J130">
            <v>10</v>
          </cell>
          <cell r="L130">
            <v>11000</v>
          </cell>
          <cell r="M130">
            <v>0</v>
          </cell>
          <cell r="N130">
            <v>0</v>
          </cell>
          <cell r="O130">
            <v>11000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8</v>
          </cell>
          <cell r="K131">
            <v>1</v>
          </cell>
          <cell r="L131">
            <v>5866.666666666667</v>
          </cell>
          <cell r="M131">
            <v>59</v>
          </cell>
          <cell r="N131">
            <v>0</v>
          </cell>
          <cell r="O131">
            <v>5925.666666666667</v>
          </cell>
        </row>
      </sheetData>
      <sheetData sheetId="11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31</v>
          </cell>
          <cell r="K5">
            <v>0</v>
          </cell>
          <cell r="L5">
            <v>63500</v>
          </cell>
          <cell r="M5">
            <v>0</v>
          </cell>
          <cell r="N5">
            <v>0</v>
          </cell>
          <cell r="O5">
            <v>63500</v>
          </cell>
        </row>
        <row r="6">
          <cell r="B6">
            <v>11435</v>
          </cell>
          <cell r="C6" t="str">
            <v>CHANDRA SEKHAR SHARE PUPPALA</v>
          </cell>
          <cell r="D6" t="str">
            <v>ICICI</v>
          </cell>
          <cell r="E6" t="str">
            <v>SECUNDERABAD</v>
          </cell>
          <cell r="F6" t="str">
            <v>004801542856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31</v>
          </cell>
          <cell r="K6">
            <v>0</v>
          </cell>
          <cell r="L6">
            <v>63500</v>
          </cell>
          <cell r="M6">
            <v>0</v>
          </cell>
          <cell r="N6">
            <v>0</v>
          </cell>
          <cell r="O6">
            <v>63500</v>
          </cell>
        </row>
        <row r="7">
          <cell r="B7">
            <v>3</v>
          </cell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30</v>
          </cell>
          <cell r="K7">
            <v>0</v>
          </cell>
          <cell r="L7">
            <v>35709.677419354834</v>
          </cell>
          <cell r="M7">
            <v>0</v>
          </cell>
          <cell r="N7">
            <v>2000</v>
          </cell>
          <cell r="O7">
            <v>37709.677419354834</v>
          </cell>
        </row>
        <row r="8">
          <cell r="B8">
            <v>5</v>
          </cell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30</v>
          </cell>
          <cell r="K8">
            <v>0</v>
          </cell>
          <cell r="L8">
            <v>50806.451612903227</v>
          </cell>
          <cell r="M8">
            <v>0</v>
          </cell>
          <cell r="N8">
            <v>2000</v>
          </cell>
          <cell r="O8">
            <v>52806.451612903227</v>
          </cell>
        </row>
        <row r="9">
          <cell r="B9">
            <v>14</v>
          </cell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31</v>
          </cell>
          <cell r="K9">
            <v>0</v>
          </cell>
          <cell r="L9">
            <v>30250</v>
          </cell>
          <cell r="M9">
            <v>0</v>
          </cell>
          <cell r="N9">
            <v>3350</v>
          </cell>
          <cell r="O9">
            <v>33600</v>
          </cell>
        </row>
        <row r="10">
          <cell r="B10">
            <v>21</v>
          </cell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30</v>
          </cell>
          <cell r="K10">
            <v>0</v>
          </cell>
          <cell r="L10">
            <v>49354.838709677424</v>
          </cell>
          <cell r="M10">
            <v>0</v>
          </cell>
          <cell r="N10">
            <v>2000</v>
          </cell>
          <cell r="O10">
            <v>51354.838709677424</v>
          </cell>
        </row>
        <row r="11">
          <cell r="B11">
            <v>22</v>
          </cell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31</v>
          </cell>
          <cell r="K11">
            <v>0</v>
          </cell>
          <cell r="L11">
            <v>38500</v>
          </cell>
          <cell r="M11">
            <v>0</v>
          </cell>
          <cell r="N11">
            <v>3600</v>
          </cell>
          <cell r="O11">
            <v>42100</v>
          </cell>
        </row>
        <row r="12">
          <cell r="B12">
            <v>30</v>
          </cell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27</v>
          </cell>
          <cell r="K12">
            <v>0</v>
          </cell>
          <cell r="L12">
            <v>40500</v>
          </cell>
          <cell r="M12">
            <v>0</v>
          </cell>
          <cell r="N12">
            <v>5350</v>
          </cell>
          <cell r="O12">
            <v>45850</v>
          </cell>
        </row>
        <row r="13">
          <cell r="B13">
            <v>33</v>
          </cell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31</v>
          </cell>
          <cell r="K13">
            <v>55</v>
          </cell>
          <cell r="L13">
            <v>25500</v>
          </cell>
          <cell r="M13">
            <v>3770</v>
          </cell>
          <cell r="N13">
            <v>4000</v>
          </cell>
          <cell r="O13">
            <v>33270</v>
          </cell>
        </row>
        <row r="14">
          <cell r="B14">
            <v>36</v>
          </cell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31</v>
          </cell>
          <cell r="K14">
            <v>0</v>
          </cell>
          <cell r="L14">
            <v>32000</v>
          </cell>
          <cell r="M14">
            <v>0</v>
          </cell>
          <cell r="N14">
            <v>2100</v>
          </cell>
          <cell r="O14">
            <v>34100</v>
          </cell>
        </row>
        <row r="15">
          <cell r="B15">
            <v>91</v>
          </cell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27</v>
          </cell>
          <cell r="K15">
            <v>0</v>
          </cell>
          <cell r="L15">
            <v>34664.516129032258</v>
          </cell>
          <cell r="M15">
            <v>0</v>
          </cell>
          <cell r="N15">
            <v>1850</v>
          </cell>
          <cell r="O15">
            <v>36514.516129032258</v>
          </cell>
        </row>
        <row r="16">
          <cell r="B16">
            <v>95</v>
          </cell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29</v>
          </cell>
          <cell r="K16">
            <v>28</v>
          </cell>
          <cell r="L16">
            <v>33677.419354838712</v>
          </cell>
          <cell r="M16">
            <v>2710</v>
          </cell>
          <cell r="N16">
            <v>1750</v>
          </cell>
          <cell r="O16">
            <v>38137.419354838712</v>
          </cell>
        </row>
        <row r="17">
          <cell r="B17">
            <v>142</v>
          </cell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12</v>
          </cell>
          <cell r="K17">
            <v>0</v>
          </cell>
          <cell r="L17">
            <v>18580.645161290326</v>
          </cell>
          <cell r="M17">
            <v>0</v>
          </cell>
          <cell r="N17">
            <v>1500</v>
          </cell>
          <cell r="O17">
            <v>20080.645161290326</v>
          </cell>
        </row>
        <row r="18">
          <cell r="B18">
            <v>159</v>
          </cell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23</v>
          </cell>
          <cell r="K18">
            <v>0</v>
          </cell>
          <cell r="L18">
            <v>27822.580645161292</v>
          </cell>
          <cell r="M18">
            <v>0</v>
          </cell>
          <cell r="N18">
            <v>3650</v>
          </cell>
          <cell r="O18">
            <v>31472.580645161292</v>
          </cell>
        </row>
        <row r="19">
          <cell r="B19">
            <v>175</v>
          </cell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11</v>
          </cell>
          <cell r="K19">
            <v>0</v>
          </cell>
          <cell r="L19">
            <v>11177.41935483871</v>
          </cell>
          <cell r="M19">
            <v>0</v>
          </cell>
          <cell r="N19">
            <v>1100</v>
          </cell>
          <cell r="O19">
            <v>12277.41935483871</v>
          </cell>
        </row>
        <row r="20">
          <cell r="B20">
            <v>213</v>
          </cell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31</v>
          </cell>
          <cell r="K20">
            <v>0</v>
          </cell>
          <cell r="L20">
            <v>36000</v>
          </cell>
          <cell r="M20">
            <v>0</v>
          </cell>
          <cell r="N20">
            <v>2050</v>
          </cell>
          <cell r="O20">
            <v>38050</v>
          </cell>
        </row>
        <row r="21">
          <cell r="B21">
            <v>258</v>
          </cell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30</v>
          </cell>
          <cell r="K21">
            <v>0</v>
          </cell>
          <cell r="L21">
            <v>34838.709677419356</v>
          </cell>
          <cell r="M21">
            <v>0</v>
          </cell>
          <cell r="N21">
            <v>1800</v>
          </cell>
          <cell r="O21">
            <v>36638.709677419356</v>
          </cell>
        </row>
        <row r="22">
          <cell r="B22">
            <v>10435</v>
          </cell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31</v>
          </cell>
          <cell r="K22">
            <v>0</v>
          </cell>
          <cell r="L22">
            <v>31500</v>
          </cell>
          <cell r="M22">
            <v>0</v>
          </cell>
          <cell r="N22">
            <v>1850</v>
          </cell>
          <cell r="O22">
            <v>33350</v>
          </cell>
        </row>
        <row r="23">
          <cell r="B23">
            <v>10442</v>
          </cell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31500</v>
          </cell>
          <cell r="J23">
            <v>31</v>
          </cell>
          <cell r="K23">
            <v>0</v>
          </cell>
          <cell r="L23">
            <v>31500</v>
          </cell>
          <cell r="M23">
            <v>0</v>
          </cell>
          <cell r="N23">
            <v>1900</v>
          </cell>
          <cell r="O23">
            <v>33400</v>
          </cell>
        </row>
        <row r="24">
          <cell r="B24">
            <v>10483</v>
          </cell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30</v>
          </cell>
          <cell r="K24">
            <v>0</v>
          </cell>
          <cell r="L24">
            <v>9677.4193548387084</v>
          </cell>
          <cell r="M24">
            <v>0</v>
          </cell>
          <cell r="N24">
            <v>0</v>
          </cell>
          <cell r="O24">
            <v>9677.4193548387084</v>
          </cell>
        </row>
        <row r="25">
          <cell r="B25">
            <v>10497</v>
          </cell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30500</v>
          </cell>
          <cell r="J25">
            <v>31</v>
          </cell>
          <cell r="K25">
            <v>26</v>
          </cell>
          <cell r="L25">
            <v>30500</v>
          </cell>
          <cell r="M25">
            <v>2132</v>
          </cell>
          <cell r="N25">
            <v>3400</v>
          </cell>
          <cell r="O25">
            <v>36032</v>
          </cell>
        </row>
        <row r="26">
          <cell r="B26">
            <v>10660</v>
          </cell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</row>
        <row r="27">
          <cell r="B27">
            <v>10865</v>
          </cell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31</v>
          </cell>
          <cell r="K27">
            <v>12</v>
          </cell>
          <cell r="L27">
            <v>29800</v>
          </cell>
          <cell r="M27">
            <v>961</v>
          </cell>
          <cell r="N27">
            <v>3100</v>
          </cell>
          <cell r="O27">
            <v>33861</v>
          </cell>
        </row>
        <row r="28">
          <cell r="B28">
            <v>10990</v>
          </cell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50500</v>
          </cell>
          <cell r="J28">
            <v>31</v>
          </cell>
          <cell r="K28">
            <v>0</v>
          </cell>
          <cell r="L28">
            <v>50500</v>
          </cell>
          <cell r="M28">
            <v>0</v>
          </cell>
          <cell r="N28">
            <v>0</v>
          </cell>
          <cell r="O28">
            <v>50500</v>
          </cell>
        </row>
        <row r="29">
          <cell r="B29">
            <v>11145</v>
          </cell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30</v>
          </cell>
          <cell r="K29">
            <v>0</v>
          </cell>
          <cell r="L29">
            <v>24193.548387096776</v>
          </cell>
          <cell r="M29">
            <v>0</v>
          </cell>
          <cell r="N29">
            <v>3000</v>
          </cell>
          <cell r="O29">
            <v>27193.548387096776</v>
          </cell>
        </row>
        <row r="30">
          <cell r="B30">
            <v>10540</v>
          </cell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31</v>
          </cell>
          <cell r="K30">
            <v>0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</row>
        <row r="31">
          <cell r="B31">
            <v>11336</v>
          </cell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29</v>
          </cell>
          <cell r="K31">
            <v>16</v>
          </cell>
          <cell r="L31">
            <v>23854.83870967742</v>
          </cell>
          <cell r="M31">
            <v>1097</v>
          </cell>
          <cell r="N31">
            <v>4450</v>
          </cell>
          <cell r="O31">
            <v>29401.83870967742</v>
          </cell>
        </row>
        <row r="32">
          <cell r="B32">
            <v>10430</v>
          </cell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28000</v>
          </cell>
          <cell r="J32">
            <v>31</v>
          </cell>
          <cell r="K32">
            <v>0</v>
          </cell>
          <cell r="L32">
            <v>28000</v>
          </cell>
          <cell r="M32">
            <v>0</v>
          </cell>
          <cell r="N32">
            <v>0</v>
          </cell>
          <cell r="O32">
            <v>28000</v>
          </cell>
        </row>
        <row r="33">
          <cell r="B33">
            <v>10586</v>
          </cell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27000</v>
          </cell>
          <cell r="J33">
            <v>31</v>
          </cell>
          <cell r="K33">
            <v>21</v>
          </cell>
          <cell r="L33">
            <v>27000</v>
          </cell>
          <cell r="M33">
            <v>1524</v>
          </cell>
          <cell r="N33">
            <v>1500</v>
          </cell>
          <cell r="O33">
            <v>30024</v>
          </cell>
        </row>
        <row r="34">
          <cell r="B34">
            <v>10758</v>
          </cell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28000</v>
          </cell>
          <cell r="J34">
            <v>31</v>
          </cell>
          <cell r="K34">
            <v>0</v>
          </cell>
          <cell r="L34">
            <v>28000</v>
          </cell>
          <cell r="M34">
            <v>0</v>
          </cell>
          <cell r="N34">
            <v>2100</v>
          </cell>
          <cell r="O34">
            <v>30100</v>
          </cell>
        </row>
        <row r="35">
          <cell r="B35">
            <v>10950</v>
          </cell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29</v>
          </cell>
          <cell r="K35">
            <v>2</v>
          </cell>
          <cell r="L35">
            <v>28532.258064516129</v>
          </cell>
          <cell r="M35">
            <v>164</v>
          </cell>
          <cell r="N35">
            <v>1500</v>
          </cell>
          <cell r="O35">
            <v>30196.258064516129</v>
          </cell>
        </row>
        <row r="36">
          <cell r="B36">
            <v>11550</v>
          </cell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22500</v>
          </cell>
          <cell r="J36">
            <v>29</v>
          </cell>
          <cell r="K36">
            <v>0</v>
          </cell>
          <cell r="L36">
            <v>21048.387096774193</v>
          </cell>
          <cell r="M36">
            <v>0</v>
          </cell>
          <cell r="N36">
            <v>2000</v>
          </cell>
          <cell r="O36">
            <v>23048.387096774193</v>
          </cell>
        </row>
        <row r="37">
          <cell r="B37">
            <v>16</v>
          </cell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500</v>
          </cell>
          <cell r="J37">
            <v>26.5</v>
          </cell>
          <cell r="K37">
            <v>88</v>
          </cell>
          <cell r="L37">
            <v>13250</v>
          </cell>
          <cell r="M37">
            <v>11000</v>
          </cell>
          <cell r="N37">
            <v>600</v>
          </cell>
          <cell r="O37">
            <v>24850</v>
          </cell>
        </row>
        <row r="38">
          <cell r="B38">
            <v>10488</v>
          </cell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440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10542</v>
          </cell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11428</v>
          </cell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24000</v>
          </cell>
          <cell r="J40">
            <v>31</v>
          </cell>
          <cell r="K40">
            <v>0</v>
          </cell>
          <cell r="L40">
            <v>24000</v>
          </cell>
          <cell r="M40">
            <v>0</v>
          </cell>
          <cell r="N40">
            <v>0</v>
          </cell>
          <cell r="O40">
            <v>24000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31</v>
          </cell>
          <cell r="K41">
            <v>0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</row>
        <row r="42">
          <cell r="B42">
            <v>11571</v>
          </cell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3</v>
          </cell>
          <cell r="K42">
            <v>0</v>
          </cell>
          <cell r="L42">
            <v>1741.9354838709678</v>
          </cell>
          <cell r="M42">
            <v>0</v>
          </cell>
          <cell r="N42">
            <v>0</v>
          </cell>
          <cell r="O42">
            <v>1741.9354838709678</v>
          </cell>
        </row>
        <row r="43">
          <cell r="B43">
            <v>11589</v>
          </cell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31</v>
          </cell>
          <cell r="K43">
            <v>47</v>
          </cell>
          <cell r="L43">
            <v>21000</v>
          </cell>
          <cell r="M43">
            <v>2653</v>
          </cell>
          <cell r="N43">
            <v>0</v>
          </cell>
          <cell r="O43">
            <v>23653</v>
          </cell>
        </row>
        <row r="44">
          <cell r="B44">
            <v>11618</v>
          </cell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19000</v>
          </cell>
          <cell r="J44">
            <v>31</v>
          </cell>
          <cell r="K44">
            <v>1</v>
          </cell>
          <cell r="L44">
            <v>19000</v>
          </cell>
          <cell r="M44">
            <v>51</v>
          </cell>
          <cell r="N44">
            <v>0</v>
          </cell>
          <cell r="O44">
            <v>19051</v>
          </cell>
        </row>
        <row r="45">
          <cell r="B45">
            <v>10480</v>
          </cell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420</v>
          </cell>
          <cell r="J45">
            <v>31</v>
          </cell>
          <cell r="K45">
            <v>101</v>
          </cell>
          <cell r="L45">
            <v>13020</v>
          </cell>
          <cell r="M45">
            <v>10605</v>
          </cell>
          <cell r="N45">
            <v>0</v>
          </cell>
          <cell r="O45">
            <v>23625</v>
          </cell>
        </row>
        <row r="46">
          <cell r="B46">
            <v>11531</v>
          </cell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11411</v>
          </cell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380</v>
          </cell>
          <cell r="J47">
            <v>31</v>
          </cell>
          <cell r="K47">
            <v>120</v>
          </cell>
          <cell r="L47">
            <v>11780</v>
          </cell>
          <cell r="M47">
            <v>11400</v>
          </cell>
          <cell r="N47">
            <v>0</v>
          </cell>
          <cell r="O47">
            <v>23180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18000</v>
          </cell>
          <cell r="J48">
            <v>30</v>
          </cell>
          <cell r="K48">
            <v>0</v>
          </cell>
          <cell r="L48">
            <v>17419.354838709678</v>
          </cell>
          <cell r="M48">
            <v>0</v>
          </cell>
          <cell r="N48">
            <v>0</v>
          </cell>
          <cell r="O48">
            <v>17419.354838709678</v>
          </cell>
        </row>
        <row r="49">
          <cell r="B49">
            <v>11676</v>
          </cell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30</v>
          </cell>
          <cell r="K49">
            <v>9</v>
          </cell>
          <cell r="L49">
            <v>20322.580645161288</v>
          </cell>
          <cell r="M49">
            <v>508</v>
          </cell>
          <cell r="N49">
            <v>0</v>
          </cell>
          <cell r="O49">
            <v>20830.580645161288</v>
          </cell>
        </row>
        <row r="50">
          <cell r="B50">
            <v>10553</v>
          </cell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26000</v>
          </cell>
          <cell r="J50">
            <v>29</v>
          </cell>
          <cell r="K50">
            <v>0</v>
          </cell>
          <cell r="L50">
            <v>24322.580645161292</v>
          </cell>
          <cell r="M50">
            <v>0</v>
          </cell>
          <cell r="N50">
            <v>1500</v>
          </cell>
          <cell r="O50">
            <v>25822.580645161292</v>
          </cell>
        </row>
        <row r="51">
          <cell r="B51">
            <v>10940</v>
          </cell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11542</v>
          </cell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23000</v>
          </cell>
          <cell r="J52">
            <v>31</v>
          </cell>
          <cell r="K52">
            <v>7</v>
          </cell>
          <cell r="L52">
            <v>23000</v>
          </cell>
          <cell r="M52">
            <v>433</v>
          </cell>
          <cell r="N52">
            <v>0</v>
          </cell>
          <cell r="O52">
            <v>23433</v>
          </cell>
        </row>
        <row r="53">
          <cell r="B53">
            <v>10449</v>
          </cell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640</v>
          </cell>
          <cell r="J53">
            <v>28</v>
          </cell>
          <cell r="K53">
            <v>0</v>
          </cell>
          <cell r="L53">
            <v>17920</v>
          </cell>
          <cell r="M53">
            <v>0</v>
          </cell>
          <cell r="N53">
            <v>0</v>
          </cell>
          <cell r="O53">
            <v>17920</v>
          </cell>
        </row>
        <row r="54">
          <cell r="B54">
            <v>11344</v>
          </cell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11455</v>
          </cell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196</v>
          </cell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25250</v>
          </cell>
          <cell r="J56">
            <v>28</v>
          </cell>
          <cell r="K56">
            <v>31</v>
          </cell>
          <cell r="L56">
            <v>22806.451612903227</v>
          </cell>
          <cell r="M56">
            <v>2104</v>
          </cell>
          <cell r="N56">
            <v>0</v>
          </cell>
          <cell r="O56">
            <v>24910.451612903227</v>
          </cell>
        </row>
        <row r="57">
          <cell r="B57">
            <v>10499</v>
          </cell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415</v>
          </cell>
          <cell r="J57">
            <v>31</v>
          </cell>
          <cell r="K57">
            <v>109</v>
          </cell>
          <cell r="L57">
            <v>12865</v>
          </cell>
          <cell r="M57">
            <v>11308.75</v>
          </cell>
          <cell r="N57">
            <v>0</v>
          </cell>
          <cell r="O57">
            <v>24173.75</v>
          </cell>
        </row>
        <row r="58">
          <cell r="B58">
            <v>10614</v>
          </cell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10723</v>
          </cell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25000</v>
          </cell>
          <cell r="J59">
            <v>31</v>
          </cell>
          <cell r="K59">
            <v>23</v>
          </cell>
          <cell r="L59">
            <v>25000</v>
          </cell>
          <cell r="M59">
            <v>1546</v>
          </cell>
          <cell r="N59">
            <v>0</v>
          </cell>
          <cell r="O59">
            <v>26546</v>
          </cell>
        </row>
        <row r="60">
          <cell r="B60">
            <v>11250</v>
          </cell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26000</v>
          </cell>
          <cell r="J60">
            <v>31</v>
          </cell>
          <cell r="K60">
            <v>12</v>
          </cell>
          <cell r="L60">
            <v>26000</v>
          </cell>
          <cell r="M60">
            <v>839</v>
          </cell>
          <cell r="N60">
            <v>0</v>
          </cell>
          <cell r="O60">
            <v>26839</v>
          </cell>
        </row>
        <row r="61">
          <cell r="B61">
            <v>11012</v>
          </cell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31</v>
          </cell>
          <cell r="K61">
            <v>9</v>
          </cell>
          <cell r="L61">
            <v>25000</v>
          </cell>
          <cell r="M61">
            <v>605</v>
          </cell>
          <cell r="N61">
            <v>0</v>
          </cell>
          <cell r="O61">
            <v>25605</v>
          </cell>
        </row>
        <row r="62">
          <cell r="B62">
            <v>10746</v>
          </cell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11287</v>
          </cell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25000</v>
          </cell>
          <cell r="J63">
            <v>31</v>
          </cell>
          <cell r="K63">
            <v>24</v>
          </cell>
          <cell r="L63">
            <v>25000</v>
          </cell>
          <cell r="M63">
            <v>1613</v>
          </cell>
          <cell r="N63">
            <v>0</v>
          </cell>
          <cell r="O63">
            <v>26613</v>
          </cell>
        </row>
        <row r="64">
          <cell r="B64">
            <v>11424</v>
          </cell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395</v>
          </cell>
          <cell r="J64">
            <v>21</v>
          </cell>
          <cell r="K64">
            <v>87</v>
          </cell>
          <cell r="L64">
            <v>8295</v>
          </cell>
          <cell r="M64">
            <v>8591.25</v>
          </cell>
          <cell r="N64">
            <v>0</v>
          </cell>
          <cell r="O64">
            <v>16886.25</v>
          </cell>
        </row>
        <row r="65">
          <cell r="B65">
            <v>10729</v>
          </cell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11332</v>
          </cell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11439</v>
          </cell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11240</v>
          </cell>
          <cell r="C68" t="str">
            <v>RAHUL KUMAR</v>
          </cell>
          <cell r="H68" t="str">
            <v>R</v>
          </cell>
          <cell r="I68">
            <v>335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11675</v>
          </cell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25</v>
          </cell>
          <cell r="K69">
            <v>4</v>
          </cell>
          <cell r="L69">
            <v>16935.483870967742</v>
          </cell>
          <cell r="M69">
            <v>226</v>
          </cell>
          <cell r="N69">
            <v>0</v>
          </cell>
          <cell r="O69">
            <v>17161.483870967742</v>
          </cell>
        </row>
        <row r="70">
          <cell r="B70">
            <v>11662</v>
          </cell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10805</v>
          </cell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25500</v>
          </cell>
          <cell r="J71">
            <v>28</v>
          </cell>
          <cell r="K71">
            <v>0</v>
          </cell>
          <cell r="L71">
            <v>23032.258064516129</v>
          </cell>
          <cell r="M71">
            <v>0</v>
          </cell>
          <cell r="N71">
            <v>0</v>
          </cell>
          <cell r="O71">
            <v>23032.258064516129</v>
          </cell>
        </row>
        <row r="72">
          <cell r="B72">
            <v>11246</v>
          </cell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31</v>
          </cell>
          <cell r="K72">
            <v>43</v>
          </cell>
          <cell r="L72">
            <v>24000</v>
          </cell>
          <cell r="M72">
            <v>2774</v>
          </cell>
          <cell r="N72">
            <v>0</v>
          </cell>
          <cell r="O72">
            <v>26774</v>
          </cell>
        </row>
        <row r="73">
          <cell r="B73">
            <v>11596</v>
          </cell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350</v>
          </cell>
          <cell r="J73">
            <v>29</v>
          </cell>
          <cell r="K73">
            <v>95</v>
          </cell>
          <cell r="L73">
            <v>10150</v>
          </cell>
          <cell r="M73">
            <v>8312.5</v>
          </cell>
          <cell r="N73">
            <v>0</v>
          </cell>
          <cell r="O73">
            <v>18462.5</v>
          </cell>
        </row>
        <row r="74">
          <cell r="B74">
            <v>10487</v>
          </cell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460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10705</v>
          </cell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465</v>
          </cell>
          <cell r="J75">
            <v>25</v>
          </cell>
          <cell r="K75">
            <v>110</v>
          </cell>
          <cell r="L75">
            <v>11625</v>
          </cell>
          <cell r="M75">
            <v>12787.5</v>
          </cell>
          <cell r="N75">
            <v>0</v>
          </cell>
          <cell r="O75">
            <v>24412.5</v>
          </cell>
        </row>
        <row r="76">
          <cell r="B76">
            <v>10734</v>
          </cell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25000</v>
          </cell>
          <cell r="J76">
            <v>31</v>
          </cell>
          <cell r="K76">
            <v>2</v>
          </cell>
          <cell r="L76">
            <v>25000</v>
          </cell>
          <cell r="M76">
            <v>134</v>
          </cell>
          <cell r="N76">
            <v>0</v>
          </cell>
          <cell r="O76">
            <v>25134</v>
          </cell>
        </row>
        <row r="77">
          <cell r="B77">
            <v>11024</v>
          </cell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24250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1500</v>
          </cell>
          <cell r="O77">
            <v>1500</v>
          </cell>
        </row>
        <row r="78">
          <cell r="B78">
            <v>11297</v>
          </cell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25000</v>
          </cell>
          <cell r="J78">
            <v>31</v>
          </cell>
          <cell r="K78">
            <v>20</v>
          </cell>
          <cell r="L78">
            <v>25000</v>
          </cell>
          <cell r="M78">
            <v>1344</v>
          </cell>
          <cell r="N78">
            <v>0</v>
          </cell>
          <cell r="O78">
            <v>26344</v>
          </cell>
        </row>
        <row r="79">
          <cell r="B79">
            <v>10731</v>
          </cell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410</v>
          </cell>
          <cell r="J79">
            <v>31</v>
          </cell>
          <cell r="K79">
            <v>105</v>
          </cell>
          <cell r="L79">
            <v>12710</v>
          </cell>
          <cell r="M79">
            <v>10762.5</v>
          </cell>
          <cell r="N79">
            <v>0</v>
          </cell>
          <cell r="O79">
            <v>23472.5</v>
          </cell>
        </row>
        <row r="80">
          <cell r="B80">
            <v>11388</v>
          </cell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22000</v>
          </cell>
          <cell r="J80">
            <v>28</v>
          </cell>
          <cell r="K80">
            <v>0</v>
          </cell>
          <cell r="L80">
            <v>19870.967741935481</v>
          </cell>
          <cell r="M80">
            <v>0</v>
          </cell>
          <cell r="N80">
            <v>0</v>
          </cell>
          <cell r="O80">
            <v>19870.967741935481</v>
          </cell>
        </row>
        <row r="81">
          <cell r="B81">
            <v>11302</v>
          </cell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24000</v>
          </cell>
          <cell r="J81">
            <v>8</v>
          </cell>
          <cell r="K81">
            <v>4</v>
          </cell>
          <cell r="L81">
            <v>6193.5483870967746</v>
          </cell>
          <cell r="M81">
            <v>258</v>
          </cell>
          <cell r="N81">
            <v>0</v>
          </cell>
          <cell r="O81">
            <v>6451.5483870967746</v>
          </cell>
        </row>
        <row r="82">
          <cell r="B82">
            <v>11680</v>
          </cell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10000</v>
          </cell>
          <cell r="J82">
            <v>29</v>
          </cell>
          <cell r="K82">
            <v>0</v>
          </cell>
          <cell r="L82">
            <v>9354.8387096774186</v>
          </cell>
          <cell r="M82">
            <v>0</v>
          </cell>
          <cell r="N82">
            <v>0</v>
          </cell>
          <cell r="O82">
            <v>9354.8387096774186</v>
          </cell>
        </row>
        <row r="83">
          <cell r="B83">
            <v>11370</v>
          </cell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16500</v>
          </cell>
          <cell r="J83">
            <v>32</v>
          </cell>
          <cell r="K83">
            <v>0</v>
          </cell>
          <cell r="L83">
            <v>17032.258064516129</v>
          </cell>
          <cell r="M83">
            <v>0</v>
          </cell>
          <cell r="N83">
            <v>0</v>
          </cell>
          <cell r="O83">
            <v>17032.258064516129</v>
          </cell>
        </row>
        <row r="84">
          <cell r="B84">
            <v>11048</v>
          </cell>
          <cell r="C84" t="str">
            <v>MALLI SUMAN</v>
          </cell>
          <cell r="E84" t="str">
            <v>TORANAGALLU</v>
          </cell>
          <cell r="F84" t="str">
            <v>007001005268</v>
          </cell>
          <cell r="G84" t="str">
            <v>ICIC00VSCBL</v>
          </cell>
          <cell r="H84" t="str">
            <v>H</v>
          </cell>
          <cell r="I84">
            <v>17000</v>
          </cell>
          <cell r="J84">
            <v>26</v>
          </cell>
          <cell r="K84">
            <v>0</v>
          </cell>
          <cell r="L84">
            <v>14258.064516129032</v>
          </cell>
          <cell r="M84">
            <v>0</v>
          </cell>
          <cell r="N84">
            <v>0</v>
          </cell>
          <cell r="O84">
            <v>14258.064516129032</v>
          </cell>
        </row>
        <row r="85">
          <cell r="B85">
            <v>11701</v>
          </cell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29500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11719</v>
          </cell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28000</v>
          </cell>
          <cell r="J86">
            <v>31</v>
          </cell>
          <cell r="K86">
            <v>0</v>
          </cell>
          <cell r="L86">
            <v>28000</v>
          </cell>
          <cell r="M86">
            <v>0</v>
          </cell>
          <cell r="N86">
            <v>0</v>
          </cell>
          <cell r="O86">
            <v>28000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J87">
            <v>28</v>
          </cell>
          <cell r="K87">
            <v>0</v>
          </cell>
          <cell r="L87">
            <v>18064.516129032258</v>
          </cell>
          <cell r="M87">
            <v>0</v>
          </cell>
          <cell r="N87">
            <v>1000</v>
          </cell>
          <cell r="O87">
            <v>19064.516129032258</v>
          </cell>
        </row>
        <row r="88">
          <cell r="B88">
            <v>11824</v>
          </cell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31</v>
          </cell>
          <cell r="K88">
            <v>126</v>
          </cell>
          <cell r="L88">
            <v>12710</v>
          </cell>
          <cell r="M88">
            <v>12915</v>
          </cell>
          <cell r="N88">
            <v>0</v>
          </cell>
          <cell r="O88">
            <v>25625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11817</v>
          </cell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J90">
            <v>31</v>
          </cell>
          <cell r="K90">
            <v>106</v>
          </cell>
          <cell r="L90">
            <v>9300</v>
          </cell>
          <cell r="M90">
            <v>7950</v>
          </cell>
          <cell r="N90">
            <v>0</v>
          </cell>
          <cell r="O90">
            <v>17250</v>
          </cell>
        </row>
        <row r="91">
          <cell r="B91">
            <v>11820</v>
          </cell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21</v>
          </cell>
          <cell r="K91">
            <v>2</v>
          </cell>
          <cell r="L91">
            <v>18967.741935483871</v>
          </cell>
          <cell r="M91">
            <v>151</v>
          </cell>
          <cell r="N91">
            <v>0</v>
          </cell>
          <cell r="O91">
            <v>19118.741935483871</v>
          </cell>
        </row>
        <row r="92">
          <cell r="B92">
            <v>11818</v>
          </cell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45000</v>
          </cell>
          <cell r="J92">
            <v>31</v>
          </cell>
          <cell r="K92">
            <v>49</v>
          </cell>
          <cell r="L92">
            <v>45000</v>
          </cell>
          <cell r="M92">
            <v>5927</v>
          </cell>
          <cell r="N92">
            <v>0</v>
          </cell>
          <cell r="O92">
            <v>50927</v>
          </cell>
        </row>
        <row r="93">
          <cell r="B93">
            <v>11804</v>
          </cell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29</v>
          </cell>
          <cell r="K93">
            <v>0</v>
          </cell>
          <cell r="L93">
            <v>15903.225806451612</v>
          </cell>
          <cell r="M93">
            <v>0</v>
          </cell>
          <cell r="N93">
            <v>0</v>
          </cell>
          <cell r="O93">
            <v>15903.225806451612</v>
          </cell>
        </row>
        <row r="94">
          <cell r="B94">
            <v>11806</v>
          </cell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31</v>
          </cell>
          <cell r="K94">
            <v>0</v>
          </cell>
          <cell r="L94">
            <v>17000</v>
          </cell>
          <cell r="M94">
            <v>0</v>
          </cell>
          <cell r="N94">
            <v>0</v>
          </cell>
          <cell r="O94">
            <v>17000</v>
          </cell>
        </row>
        <row r="95">
          <cell r="B95">
            <v>11807</v>
          </cell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11821</v>
          </cell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31</v>
          </cell>
          <cell r="K96">
            <v>24</v>
          </cell>
          <cell r="L96">
            <v>23000</v>
          </cell>
          <cell r="M96">
            <v>1484</v>
          </cell>
          <cell r="N96">
            <v>0</v>
          </cell>
          <cell r="O96">
            <v>24484</v>
          </cell>
        </row>
        <row r="97">
          <cell r="B97">
            <v>11805</v>
          </cell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30</v>
          </cell>
          <cell r="K97">
            <v>0</v>
          </cell>
          <cell r="L97">
            <v>16451.612903225807</v>
          </cell>
          <cell r="M97">
            <v>0</v>
          </cell>
          <cell r="N97">
            <v>0</v>
          </cell>
          <cell r="O97">
            <v>16451.612903225807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11822</v>
          </cell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J99">
            <v>15</v>
          </cell>
          <cell r="K99">
            <v>0</v>
          </cell>
          <cell r="L99">
            <v>8225.8064516129034</v>
          </cell>
          <cell r="M99">
            <v>0</v>
          </cell>
          <cell r="N99">
            <v>0</v>
          </cell>
          <cell r="O99">
            <v>8225.8064516129034</v>
          </cell>
        </row>
        <row r="100">
          <cell r="C100" t="str">
            <v>RAKESH</v>
          </cell>
          <cell r="H100" t="str">
            <v>W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11332</v>
          </cell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J101">
            <v>5</v>
          </cell>
          <cell r="K101">
            <v>13</v>
          </cell>
          <cell r="L101">
            <v>3790.3225806451615</v>
          </cell>
          <cell r="M101">
            <v>821</v>
          </cell>
          <cell r="N101">
            <v>0</v>
          </cell>
          <cell r="O101">
            <v>4611.322580645161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31</v>
          </cell>
          <cell r="K102">
            <v>17</v>
          </cell>
          <cell r="L102">
            <v>20000</v>
          </cell>
          <cell r="M102">
            <v>914</v>
          </cell>
          <cell r="N102">
            <v>0</v>
          </cell>
          <cell r="O102">
            <v>20914</v>
          </cell>
        </row>
        <row r="103">
          <cell r="B103">
            <v>11828</v>
          </cell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11827</v>
          </cell>
          <cell r="C104" t="str">
            <v>MONU KUMAR</v>
          </cell>
          <cell r="F104" t="str">
            <v>4002205677</v>
          </cell>
          <cell r="G104" t="str">
            <v>CBIN0283387</v>
          </cell>
          <cell r="H104" t="str">
            <v>K</v>
          </cell>
          <cell r="I104">
            <v>900</v>
          </cell>
          <cell r="J104">
            <v>31</v>
          </cell>
          <cell r="K104">
            <v>6</v>
          </cell>
          <cell r="L104">
            <v>27900</v>
          </cell>
          <cell r="M104">
            <v>450</v>
          </cell>
          <cell r="N104">
            <v>0</v>
          </cell>
          <cell r="O104">
            <v>28350</v>
          </cell>
        </row>
        <row r="105">
          <cell r="C105" t="str">
            <v>JAGDISH MAHATO</v>
          </cell>
          <cell r="F105" t="str">
            <v>1002281030158009</v>
          </cell>
          <cell r="G105" t="str">
            <v>CBIN0R10001</v>
          </cell>
          <cell r="H105" t="str">
            <v>K</v>
          </cell>
          <cell r="I105">
            <v>900</v>
          </cell>
          <cell r="J105">
            <v>10</v>
          </cell>
          <cell r="K105">
            <v>4</v>
          </cell>
          <cell r="L105">
            <v>9000</v>
          </cell>
          <cell r="M105">
            <v>300</v>
          </cell>
          <cell r="N105">
            <v>0</v>
          </cell>
          <cell r="O105">
            <v>9300</v>
          </cell>
        </row>
        <row r="106">
          <cell r="B106">
            <v>11831</v>
          </cell>
          <cell r="C106" t="str">
            <v>MUNNU KUMAR SINGH</v>
          </cell>
          <cell r="F106" t="str">
            <v>002810284843</v>
          </cell>
          <cell r="G106" t="str">
            <v>IPOS0000001</v>
          </cell>
          <cell r="H106" t="str">
            <v>R</v>
          </cell>
          <cell r="I106">
            <v>1200</v>
          </cell>
          <cell r="J106">
            <v>31</v>
          </cell>
          <cell r="K106">
            <v>31</v>
          </cell>
          <cell r="L106">
            <v>37200</v>
          </cell>
          <cell r="M106">
            <v>3100</v>
          </cell>
          <cell r="N106">
            <v>0</v>
          </cell>
          <cell r="O106">
            <v>40300</v>
          </cell>
        </row>
        <row r="107">
          <cell r="B107">
            <v>11830</v>
          </cell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24</v>
          </cell>
          <cell r="K107">
            <v>9</v>
          </cell>
          <cell r="L107">
            <v>21600</v>
          </cell>
          <cell r="M107">
            <v>675</v>
          </cell>
          <cell r="N107">
            <v>0</v>
          </cell>
          <cell r="O107">
            <v>22275</v>
          </cell>
        </row>
        <row r="108">
          <cell r="B108">
            <v>11832</v>
          </cell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1200</v>
          </cell>
          <cell r="J108">
            <v>10</v>
          </cell>
          <cell r="K108">
            <v>4</v>
          </cell>
          <cell r="L108">
            <v>12000</v>
          </cell>
          <cell r="M108">
            <v>400</v>
          </cell>
          <cell r="N108">
            <v>0</v>
          </cell>
          <cell r="O108">
            <v>12400</v>
          </cell>
        </row>
        <row r="109">
          <cell r="B109">
            <v>11826</v>
          </cell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11833</v>
          </cell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J110">
            <v>31</v>
          </cell>
          <cell r="K110">
            <v>0</v>
          </cell>
          <cell r="L110">
            <v>22000</v>
          </cell>
          <cell r="M110">
            <v>0</v>
          </cell>
          <cell r="N110">
            <v>0</v>
          </cell>
          <cell r="O110">
            <v>22000</v>
          </cell>
        </row>
        <row r="111">
          <cell r="B111">
            <v>11836</v>
          </cell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11837</v>
          </cell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11838</v>
          </cell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1200</v>
          </cell>
          <cell r="J113">
            <v>31</v>
          </cell>
          <cell r="K113">
            <v>7</v>
          </cell>
          <cell r="L113">
            <v>37200</v>
          </cell>
          <cell r="M113">
            <v>700</v>
          </cell>
          <cell r="N113">
            <v>0</v>
          </cell>
          <cell r="O113">
            <v>37900</v>
          </cell>
        </row>
        <row r="114">
          <cell r="B114">
            <v>11835</v>
          </cell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11834</v>
          </cell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11611</v>
          </cell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31</v>
          </cell>
          <cell r="K119">
            <v>134</v>
          </cell>
          <cell r="L119">
            <v>10850</v>
          </cell>
          <cell r="M119">
            <v>11725</v>
          </cell>
          <cell r="N119">
            <v>0</v>
          </cell>
          <cell r="O119">
            <v>22575</v>
          </cell>
        </row>
        <row r="120">
          <cell r="B120">
            <v>11358</v>
          </cell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I120">
            <v>800</v>
          </cell>
          <cell r="J120">
            <v>2</v>
          </cell>
          <cell r="K120">
            <v>0</v>
          </cell>
          <cell r="L120">
            <v>1600</v>
          </cell>
          <cell r="M120">
            <v>0</v>
          </cell>
          <cell r="N120">
            <v>0</v>
          </cell>
          <cell r="O120">
            <v>1600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J121">
            <v>5</v>
          </cell>
          <cell r="K121">
            <v>0</v>
          </cell>
          <cell r="L121">
            <v>4500</v>
          </cell>
          <cell r="M121">
            <v>0</v>
          </cell>
          <cell r="N121">
            <v>0</v>
          </cell>
          <cell r="O121">
            <v>4500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J122">
            <v>1</v>
          </cell>
          <cell r="K122">
            <v>1</v>
          </cell>
          <cell r="L122">
            <v>800</v>
          </cell>
          <cell r="M122">
            <v>66.666666666666671</v>
          </cell>
          <cell r="N122">
            <v>0</v>
          </cell>
          <cell r="O122">
            <v>866.66666666666663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J123">
            <v>9</v>
          </cell>
          <cell r="K123">
            <v>0</v>
          </cell>
          <cell r="L123">
            <v>7200</v>
          </cell>
          <cell r="M123">
            <v>0</v>
          </cell>
          <cell r="N123">
            <v>0</v>
          </cell>
          <cell r="O123">
            <v>7200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J124">
            <v>6</v>
          </cell>
          <cell r="K124">
            <v>1</v>
          </cell>
          <cell r="L124">
            <v>5400</v>
          </cell>
          <cell r="M124">
            <v>75</v>
          </cell>
          <cell r="N124">
            <v>0</v>
          </cell>
          <cell r="O124">
            <v>5475</v>
          </cell>
        </row>
        <row r="125">
          <cell r="C125" t="str">
            <v>ROKALLA SYAMSUNDAR</v>
          </cell>
          <cell r="H125" t="str">
            <v>H</v>
          </cell>
          <cell r="I125">
            <v>17000</v>
          </cell>
          <cell r="J125">
            <v>31</v>
          </cell>
          <cell r="K125">
            <v>0</v>
          </cell>
          <cell r="L125">
            <v>17000</v>
          </cell>
          <cell r="M125">
            <v>0</v>
          </cell>
          <cell r="N125">
            <v>0</v>
          </cell>
          <cell r="O125">
            <v>17000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31</v>
          </cell>
          <cell r="K126">
            <v>0</v>
          </cell>
          <cell r="L126">
            <v>17000</v>
          </cell>
          <cell r="M126">
            <v>0</v>
          </cell>
          <cell r="N126">
            <v>0</v>
          </cell>
          <cell r="O126">
            <v>17000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30</v>
          </cell>
          <cell r="K127">
            <v>12</v>
          </cell>
          <cell r="L127">
            <v>25161.290322580648</v>
          </cell>
          <cell r="M127">
            <v>839</v>
          </cell>
          <cell r="N127">
            <v>0</v>
          </cell>
          <cell r="O127">
            <v>26000.290322580648</v>
          </cell>
        </row>
        <row r="128">
          <cell r="B128">
            <v>11841</v>
          </cell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28</v>
          </cell>
          <cell r="K128">
            <v>29</v>
          </cell>
          <cell r="L128">
            <v>22580.645161290326</v>
          </cell>
          <cell r="M128">
            <v>1949</v>
          </cell>
          <cell r="N128">
            <v>0</v>
          </cell>
          <cell r="O128">
            <v>24529.645161290326</v>
          </cell>
        </row>
        <row r="129">
          <cell r="C129" t="str">
            <v>GUDIYA BALARAM SAHU</v>
          </cell>
          <cell r="I129">
            <v>18000</v>
          </cell>
          <cell r="J129">
            <v>10</v>
          </cell>
          <cell r="K129">
            <v>0</v>
          </cell>
          <cell r="L129">
            <v>5806.4516129032254</v>
          </cell>
          <cell r="M129">
            <v>0</v>
          </cell>
          <cell r="N129">
            <v>0</v>
          </cell>
          <cell r="O129">
            <v>5806.4516129032254</v>
          </cell>
        </row>
        <row r="130"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J130">
            <v>31</v>
          </cell>
          <cell r="K130">
            <v>13</v>
          </cell>
          <cell r="L130">
            <v>33000</v>
          </cell>
          <cell r="M130">
            <v>1153</v>
          </cell>
          <cell r="N130">
            <v>0</v>
          </cell>
          <cell r="O130">
            <v>34153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31</v>
          </cell>
          <cell r="K131">
            <v>17</v>
          </cell>
          <cell r="L131">
            <v>22000</v>
          </cell>
          <cell r="M131">
            <v>1005</v>
          </cell>
          <cell r="N131">
            <v>0</v>
          </cell>
          <cell r="O131">
            <v>23005</v>
          </cell>
        </row>
        <row r="132">
          <cell r="B132">
            <v>11845</v>
          </cell>
          <cell r="C132" t="str">
            <v>MOHD MUZAMIL</v>
          </cell>
          <cell r="E132" t="str">
            <v>AGRA</v>
          </cell>
          <cell r="F132" t="str">
            <v>39137070225</v>
          </cell>
          <cell r="G132" t="str">
            <v>SBIN0017683</v>
          </cell>
          <cell r="H132" t="str">
            <v>R</v>
          </cell>
          <cell r="I132">
            <v>25000</v>
          </cell>
          <cell r="J132">
            <v>31</v>
          </cell>
          <cell r="K132">
            <v>18</v>
          </cell>
          <cell r="L132">
            <v>25000</v>
          </cell>
          <cell r="M132">
            <v>1210</v>
          </cell>
          <cell r="N132">
            <v>0</v>
          </cell>
          <cell r="O132">
            <v>26210</v>
          </cell>
        </row>
        <row r="133">
          <cell r="C133" t="str">
            <v>DALIBANDHU PRADHAN</v>
          </cell>
          <cell r="I133">
            <v>18000</v>
          </cell>
          <cell r="J133">
            <v>5</v>
          </cell>
          <cell r="K133">
            <v>0</v>
          </cell>
          <cell r="L133">
            <v>2903.2258064516127</v>
          </cell>
          <cell r="M133">
            <v>0</v>
          </cell>
          <cell r="N133">
            <v>0</v>
          </cell>
          <cell r="O133">
            <v>2903.2258064516127</v>
          </cell>
        </row>
        <row r="134">
          <cell r="C134" t="str">
            <v>G DIWAKAR</v>
          </cell>
          <cell r="I134">
            <v>800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G DEENABANDHU</v>
          </cell>
          <cell r="I135">
            <v>800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B136">
            <v>11843</v>
          </cell>
          <cell r="C136" t="str">
            <v>ABHISHEK KUMAR</v>
          </cell>
          <cell r="F136" t="str">
            <v>35523566176</v>
          </cell>
          <cell r="G136" t="str">
            <v>SBIN0008186</v>
          </cell>
          <cell r="H136" t="str">
            <v>H</v>
          </cell>
          <cell r="I136">
            <v>25000</v>
          </cell>
          <cell r="J136">
            <v>23</v>
          </cell>
          <cell r="K136">
            <v>8</v>
          </cell>
          <cell r="L136">
            <v>18548.387096774193</v>
          </cell>
          <cell r="M136">
            <v>538</v>
          </cell>
          <cell r="N136">
            <v>0</v>
          </cell>
          <cell r="O136">
            <v>19086.387096774193</v>
          </cell>
        </row>
        <row r="137">
          <cell r="B137">
            <v>11844</v>
          </cell>
          <cell r="C137" t="str">
            <v>NIRAJ KUMAR</v>
          </cell>
          <cell r="F137" t="str">
            <v>52930100003890</v>
          </cell>
          <cell r="G137" t="str">
            <v>BARB0BALTHI</v>
          </cell>
          <cell r="H137" t="str">
            <v>K</v>
          </cell>
          <cell r="I137">
            <v>25000</v>
          </cell>
          <cell r="J137">
            <v>11</v>
          </cell>
          <cell r="K137">
            <v>6</v>
          </cell>
          <cell r="L137">
            <v>8870.9677419354848</v>
          </cell>
          <cell r="M137">
            <v>403</v>
          </cell>
          <cell r="N137">
            <v>0</v>
          </cell>
          <cell r="O137">
            <v>9273.9677419354848</v>
          </cell>
        </row>
        <row r="138">
          <cell r="C138" t="str">
            <v>ANIRUDH RAY</v>
          </cell>
          <cell r="H138" t="str">
            <v>K</v>
          </cell>
          <cell r="I138">
            <v>18000</v>
          </cell>
          <cell r="J138">
            <v>5</v>
          </cell>
          <cell r="K138">
            <v>0</v>
          </cell>
          <cell r="L138">
            <v>2903.2258064516127</v>
          </cell>
          <cell r="M138">
            <v>0</v>
          </cell>
          <cell r="N138">
            <v>0</v>
          </cell>
          <cell r="O138">
            <v>2903.2258064516127</v>
          </cell>
        </row>
        <row r="139">
          <cell r="C139" t="str">
            <v>AJAY PRADHAN</v>
          </cell>
          <cell r="I139">
            <v>1000</v>
          </cell>
          <cell r="J139">
            <v>3</v>
          </cell>
          <cell r="K139">
            <v>0</v>
          </cell>
          <cell r="L139">
            <v>3000</v>
          </cell>
          <cell r="M139">
            <v>0</v>
          </cell>
          <cell r="N139">
            <v>0</v>
          </cell>
          <cell r="O139">
            <v>3000</v>
          </cell>
        </row>
        <row r="140">
          <cell r="C140" t="str">
            <v>ROHAN ANSARI</v>
          </cell>
          <cell r="I140">
            <v>22000</v>
          </cell>
          <cell r="J140">
            <v>2</v>
          </cell>
          <cell r="K140">
            <v>0</v>
          </cell>
          <cell r="L140">
            <v>1419.3548387096773</v>
          </cell>
          <cell r="M140">
            <v>0</v>
          </cell>
          <cell r="N140">
            <v>0</v>
          </cell>
          <cell r="O140">
            <v>1419.3548387096773</v>
          </cell>
        </row>
      </sheetData>
      <sheetData sheetId="12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31</v>
          </cell>
          <cell r="K5">
            <v>0</v>
          </cell>
          <cell r="L5">
            <v>63500</v>
          </cell>
          <cell r="M5">
            <v>0</v>
          </cell>
          <cell r="N5">
            <v>0</v>
          </cell>
          <cell r="O5">
            <v>63500</v>
          </cell>
        </row>
        <row r="6">
          <cell r="B6">
            <v>11435</v>
          </cell>
          <cell r="C6" t="str">
            <v>CHANDRA SEKHAR SHARE PUPPALA</v>
          </cell>
          <cell r="D6" t="str">
            <v>ICICI</v>
          </cell>
          <cell r="E6" t="str">
            <v>SECUNDERABAD</v>
          </cell>
          <cell r="F6" t="str">
            <v>004801542856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31</v>
          </cell>
          <cell r="K6">
            <v>0</v>
          </cell>
          <cell r="L6">
            <v>63500</v>
          </cell>
          <cell r="M6">
            <v>0</v>
          </cell>
          <cell r="N6">
            <v>0</v>
          </cell>
          <cell r="O6">
            <v>63500</v>
          </cell>
        </row>
        <row r="7">
          <cell r="B7">
            <v>3</v>
          </cell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30</v>
          </cell>
          <cell r="K7">
            <v>0</v>
          </cell>
          <cell r="L7">
            <v>35709.677419354834</v>
          </cell>
          <cell r="M7">
            <v>0</v>
          </cell>
          <cell r="N7">
            <v>2000</v>
          </cell>
          <cell r="O7">
            <v>37709.677419354834</v>
          </cell>
        </row>
        <row r="8">
          <cell r="B8">
            <v>5</v>
          </cell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29</v>
          </cell>
          <cell r="K8">
            <v>0</v>
          </cell>
          <cell r="L8">
            <v>49112.903225806447</v>
          </cell>
          <cell r="M8">
            <v>0</v>
          </cell>
          <cell r="N8">
            <v>1950</v>
          </cell>
          <cell r="O8">
            <v>51062.903225806447</v>
          </cell>
        </row>
        <row r="9">
          <cell r="B9">
            <v>14</v>
          </cell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29</v>
          </cell>
          <cell r="K9">
            <v>0</v>
          </cell>
          <cell r="L9">
            <v>28298.387096774193</v>
          </cell>
          <cell r="M9">
            <v>0</v>
          </cell>
          <cell r="N9">
            <v>3250</v>
          </cell>
          <cell r="O9">
            <v>31548.387096774193</v>
          </cell>
        </row>
        <row r="10">
          <cell r="B10">
            <v>21</v>
          </cell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26</v>
          </cell>
          <cell r="K10">
            <v>0</v>
          </cell>
          <cell r="L10">
            <v>42774.193548387098</v>
          </cell>
          <cell r="M10">
            <v>0</v>
          </cell>
          <cell r="N10">
            <v>1800</v>
          </cell>
          <cell r="O10">
            <v>44574.193548387098</v>
          </cell>
        </row>
        <row r="11">
          <cell r="B11">
            <v>22</v>
          </cell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31</v>
          </cell>
          <cell r="K11">
            <v>0</v>
          </cell>
          <cell r="L11">
            <v>38500</v>
          </cell>
          <cell r="M11">
            <v>0</v>
          </cell>
          <cell r="N11">
            <v>3600</v>
          </cell>
          <cell r="O11">
            <v>42100</v>
          </cell>
        </row>
        <row r="12">
          <cell r="B12">
            <v>30</v>
          </cell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26</v>
          </cell>
          <cell r="K12">
            <v>0</v>
          </cell>
          <cell r="L12">
            <v>39000</v>
          </cell>
          <cell r="M12">
            <v>0</v>
          </cell>
          <cell r="N12">
            <v>5300</v>
          </cell>
          <cell r="O12">
            <v>44300</v>
          </cell>
        </row>
        <row r="13">
          <cell r="B13">
            <v>33</v>
          </cell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31</v>
          </cell>
          <cell r="K13">
            <v>94</v>
          </cell>
          <cell r="L13">
            <v>25500</v>
          </cell>
          <cell r="M13">
            <v>6444</v>
          </cell>
          <cell r="N13">
            <v>4000</v>
          </cell>
          <cell r="O13">
            <v>35944</v>
          </cell>
        </row>
        <row r="14">
          <cell r="B14">
            <v>36</v>
          </cell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31</v>
          </cell>
          <cell r="K14">
            <v>0</v>
          </cell>
          <cell r="L14">
            <v>32000</v>
          </cell>
          <cell r="M14">
            <v>0</v>
          </cell>
          <cell r="N14">
            <v>2100</v>
          </cell>
          <cell r="O14">
            <v>34100</v>
          </cell>
        </row>
        <row r="15">
          <cell r="B15">
            <v>91</v>
          </cell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17.5</v>
          </cell>
          <cell r="K15">
            <v>0</v>
          </cell>
          <cell r="L15">
            <v>22467.741935483868</v>
          </cell>
          <cell r="M15">
            <v>0</v>
          </cell>
          <cell r="N15">
            <v>1375</v>
          </cell>
          <cell r="O15">
            <v>23842.741935483868</v>
          </cell>
        </row>
        <row r="16">
          <cell r="B16">
            <v>95</v>
          </cell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31</v>
          </cell>
          <cell r="K16">
            <v>58</v>
          </cell>
          <cell r="L16">
            <v>36000</v>
          </cell>
          <cell r="M16">
            <v>5613</v>
          </cell>
          <cell r="N16">
            <v>1850</v>
          </cell>
          <cell r="O16">
            <v>43463</v>
          </cell>
        </row>
        <row r="17">
          <cell r="B17">
            <v>142</v>
          </cell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31</v>
          </cell>
          <cell r="K17">
            <v>0</v>
          </cell>
          <cell r="L17">
            <v>48000</v>
          </cell>
          <cell r="M17">
            <v>0</v>
          </cell>
          <cell r="N17">
            <v>3400</v>
          </cell>
          <cell r="O17">
            <v>51400</v>
          </cell>
        </row>
        <row r="18">
          <cell r="B18">
            <v>159</v>
          </cell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31</v>
          </cell>
          <cell r="K18">
            <v>0</v>
          </cell>
          <cell r="L18">
            <v>37500</v>
          </cell>
          <cell r="M18">
            <v>0</v>
          </cell>
          <cell r="N18">
            <v>4050</v>
          </cell>
          <cell r="O18">
            <v>41550</v>
          </cell>
        </row>
        <row r="19">
          <cell r="B19">
            <v>175</v>
          </cell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26</v>
          </cell>
          <cell r="K19">
            <v>0</v>
          </cell>
          <cell r="L19">
            <v>26419.354838709678</v>
          </cell>
          <cell r="M19">
            <v>0</v>
          </cell>
          <cell r="N19">
            <v>2600</v>
          </cell>
          <cell r="O19">
            <v>29019.354838709678</v>
          </cell>
        </row>
        <row r="20">
          <cell r="B20">
            <v>213</v>
          </cell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23</v>
          </cell>
          <cell r="K20">
            <v>0</v>
          </cell>
          <cell r="L20">
            <v>26709.677419354837</v>
          </cell>
          <cell r="M20">
            <v>0</v>
          </cell>
          <cell r="N20">
            <v>1650</v>
          </cell>
          <cell r="O20">
            <v>28359.677419354837</v>
          </cell>
        </row>
        <row r="21">
          <cell r="B21">
            <v>258</v>
          </cell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27</v>
          </cell>
          <cell r="K21">
            <v>0</v>
          </cell>
          <cell r="L21">
            <v>31354.838709677417</v>
          </cell>
          <cell r="M21">
            <v>0</v>
          </cell>
          <cell r="N21">
            <v>1650</v>
          </cell>
          <cell r="O21">
            <v>33004.838709677417</v>
          </cell>
        </row>
        <row r="22">
          <cell r="B22">
            <v>10435</v>
          </cell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29</v>
          </cell>
          <cell r="K22">
            <v>0</v>
          </cell>
          <cell r="L22">
            <v>29467.741935483871</v>
          </cell>
          <cell r="M22">
            <v>0</v>
          </cell>
          <cell r="N22">
            <v>1750</v>
          </cell>
          <cell r="O22">
            <v>31217.741935483871</v>
          </cell>
        </row>
        <row r="23">
          <cell r="B23">
            <v>10442</v>
          </cell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31500</v>
          </cell>
          <cell r="J23">
            <v>31</v>
          </cell>
          <cell r="K23">
            <v>0</v>
          </cell>
          <cell r="L23">
            <v>31500</v>
          </cell>
          <cell r="M23">
            <v>0</v>
          </cell>
          <cell r="N23">
            <v>1900</v>
          </cell>
          <cell r="O23">
            <v>33400</v>
          </cell>
        </row>
        <row r="24">
          <cell r="B24">
            <v>10483</v>
          </cell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31</v>
          </cell>
          <cell r="K24">
            <v>0</v>
          </cell>
          <cell r="L24">
            <v>10000</v>
          </cell>
          <cell r="M24">
            <v>0</v>
          </cell>
          <cell r="N24">
            <v>0</v>
          </cell>
          <cell r="O24">
            <v>10000</v>
          </cell>
        </row>
        <row r="25">
          <cell r="B25">
            <v>10497</v>
          </cell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30500</v>
          </cell>
          <cell r="J25">
            <v>29</v>
          </cell>
          <cell r="K25">
            <v>26</v>
          </cell>
          <cell r="L25">
            <v>28532.258064516129</v>
          </cell>
          <cell r="M25">
            <v>2132</v>
          </cell>
          <cell r="N25">
            <v>3400</v>
          </cell>
          <cell r="O25">
            <v>34064.258064516129</v>
          </cell>
        </row>
        <row r="26">
          <cell r="B26">
            <v>10660</v>
          </cell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</row>
        <row r="27">
          <cell r="B27">
            <v>10865</v>
          </cell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31</v>
          </cell>
          <cell r="K27">
            <v>29</v>
          </cell>
          <cell r="L27">
            <v>29800</v>
          </cell>
          <cell r="M27">
            <v>2323</v>
          </cell>
          <cell r="N27">
            <v>3100</v>
          </cell>
          <cell r="O27">
            <v>35223</v>
          </cell>
        </row>
        <row r="28">
          <cell r="B28">
            <v>10990</v>
          </cell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50500</v>
          </cell>
          <cell r="J28">
            <v>31</v>
          </cell>
          <cell r="K28">
            <v>5</v>
          </cell>
          <cell r="L28">
            <v>50500</v>
          </cell>
          <cell r="M28">
            <v>679</v>
          </cell>
          <cell r="N28">
            <v>0</v>
          </cell>
          <cell r="O28">
            <v>51179</v>
          </cell>
        </row>
        <row r="29">
          <cell r="B29">
            <v>11145</v>
          </cell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29</v>
          </cell>
          <cell r="K29">
            <v>8</v>
          </cell>
          <cell r="L29">
            <v>23387.096774193549</v>
          </cell>
          <cell r="M29">
            <v>538</v>
          </cell>
          <cell r="N29">
            <v>2900</v>
          </cell>
          <cell r="O29">
            <v>26825.096774193549</v>
          </cell>
        </row>
        <row r="30">
          <cell r="B30">
            <v>10540</v>
          </cell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31</v>
          </cell>
          <cell r="K30">
            <v>0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</row>
        <row r="31">
          <cell r="B31">
            <v>11336</v>
          </cell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31</v>
          </cell>
          <cell r="K31">
            <v>38</v>
          </cell>
          <cell r="L31">
            <v>25500</v>
          </cell>
          <cell r="M31">
            <v>2605</v>
          </cell>
          <cell r="N31">
            <v>4550</v>
          </cell>
          <cell r="O31">
            <v>32655</v>
          </cell>
        </row>
        <row r="32">
          <cell r="B32">
            <v>10430</v>
          </cell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28000</v>
          </cell>
          <cell r="J32">
            <v>31</v>
          </cell>
          <cell r="K32">
            <v>0</v>
          </cell>
          <cell r="L32">
            <v>28000</v>
          </cell>
          <cell r="M32">
            <v>0</v>
          </cell>
          <cell r="N32">
            <v>0</v>
          </cell>
          <cell r="O32">
            <v>28000</v>
          </cell>
        </row>
        <row r="33">
          <cell r="B33">
            <v>10586</v>
          </cell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27000</v>
          </cell>
          <cell r="J33">
            <v>30</v>
          </cell>
          <cell r="K33">
            <v>24</v>
          </cell>
          <cell r="L33">
            <v>26129.032258064515</v>
          </cell>
          <cell r="M33">
            <v>1742</v>
          </cell>
          <cell r="N33">
            <v>1500</v>
          </cell>
          <cell r="O33">
            <v>29371.032258064515</v>
          </cell>
        </row>
        <row r="34">
          <cell r="B34">
            <v>10758</v>
          </cell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28000</v>
          </cell>
          <cell r="J34">
            <v>27</v>
          </cell>
          <cell r="K34">
            <v>0</v>
          </cell>
          <cell r="L34">
            <v>24387.096774193549</v>
          </cell>
          <cell r="M34">
            <v>0</v>
          </cell>
          <cell r="N34">
            <v>2100</v>
          </cell>
          <cell r="O34">
            <v>26487.096774193549</v>
          </cell>
        </row>
        <row r="35">
          <cell r="B35">
            <v>10950</v>
          </cell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28</v>
          </cell>
          <cell r="K35">
            <v>16</v>
          </cell>
          <cell r="L35">
            <v>27548.387096774193</v>
          </cell>
          <cell r="M35">
            <v>1312</v>
          </cell>
          <cell r="N35">
            <v>1500</v>
          </cell>
          <cell r="O35">
            <v>30360.387096774193</v>
          </cell>
        </row>
        <row r="36">
          <cell r="B36">
            <v>11550</v>
          </cell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22500</v>
          </cell>
          <cell r="J36">
            <v>30.5</v>
          </cell>
          <cell r="K36">
            <v>0</v>
          </cell>
          <cell r="L36">
            <v>22137.096774193546</v>
          </cell>
          <cell r="M36">
            <v>0</v>
          </cell>
          <cell r="N36">
            <v>2000</v>
          </cell>
          <cell r="O36">
            <v>24137.096774193546</v>
          </cell>
        </row>
        <row r="37">
          <cell r="B37">
            <v>16</v>
          </cell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500</v>
          </cell>
          <cell r="J37">
            <v>29</v>
          </cell>
          <cell r="K37">
            <v>82</v>
          </cell>
          <cell r="L37">
            <v>14500</v>
          </cell>
          <cell r="M37">
            <v>10250</v>
          </cell>
          <cell r="N37">
            <v>600</v>
          </cell>
          <cell r="O37">
            <v>25350</v>
          </cell>
        </row>
        <row r="38">
          <cell r="B38">
            <v>10488</v>
          </cell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440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10542</v>
          </cell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11428</v>
          </cell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24000</v>
          </cell>
          <cell r="J40">
            <v>8</v>
          </cell>
          <cell r="K40">
            <v>0</v>
          </cell>
          <cell r="L40">
            <v>6193.5483870967746</v>
          </cell>
          <cell r="M40">
            <v>0</v>
          </cell>
          <cell r="N40">
            <v>0</v>
          </cell>
          <cell r="O40">
            <v>6193.5483870967746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31</v>
          </cell>
          <cell r="K41">
            <v>0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</row>
        <row r="42">
          <cell r="B42">
            <v>11571</v>
          </cell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11589</v>
          </cell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31</v>
          </cell>
          <cell r="K43">
            <v>21</v>
          </cell>
          <cell r="L43">
            <v>21000</v>
          </cell>
          <cell r="M43">
            <v>1185</v>
          </cell>
          <cell r="N43">
            <v>0</v>
          </cell>
          <cell r="O43">
            <v>22185</v>
          </cell>
        </row>
        <row r="44">
          <cell r="B44">
            <v>11618</v>
          </cell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19000</v>
          </cell>
          <cell r="J44">
            <v>31</v>
          </cell>
          <cell r="K44">
            <v>0</v>
          </cell>
          <cell r="L44">
            <v>19000</v>
          </cell>
          <cell r="M44">
            <v>0</v>
          </cell>
          <cell r="N44">
            <v>0</v>
          </cell>
          <cell r="O44">
            <v>19000</v>
          </cell>
        </row>
        <row r="45">
          <cell r="B45">
            <v>10480</v>
          </cell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420</v>
          </cell>
          <cell r="J45">
            <v>31</v>
          </cell>
          <cell r="K45">
            <v>92</v>
          </cell>
          <cell r="L45">
            <v>13020</v>
          </cell>
          <cell r="M45">
            <v>9660</v>
          </cell>
          <cell r="N45">
            <v>0</v>
          </cell>
          <cell r="O45">
            <v>22680</v>
          </cell>
        </row>
        <row r="46">
          <cell r="B46">
            <v>11531</v>
          </cell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11411</v>
          </cell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380</v>
          </cell>
          <cell r="J47">
            <v>31</v>
          </cell>
          <cell r="K47">
            <v>114</v>
          </cell>
          <cell r="L47">
            <v>11780</v>
          </cell>
          <cell r="M47">
            <v>10830</v>
          </cell>
          <cell r="N47">
            <v>0</v>
          </cell>
          <cell r="O47">
            <v>22610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18000</v>
          </cell>
          <cell r="J48">
            <v>30</v>
          </cell>
          <cell r="K48">
            <v>0</v>
          </cell>
          <cell r="L48">
            <v>17419.354838709678</v>
          </cell>
          <cell r="M48">
            <v>0</v>
          </cell>
          <cell r="N48">
            <v>0</v>
          </cell>
          <cell r="O48">
            <v>17419.354838709678</v>
          </cell>
        </row>
        <row r="49">
          <cell r="B49">
            <v>11676</v>
          </cell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31</v>
          </cell>
          <cell r="K49">
            <v>41</v>
          </cell>
          <cell r="L49">
            <v>21000</v>
          </cell>
          <cell r="M49">
            <v>2315</v>
          </cell>
          <cell r="N49">
            <v>0</v>
          </cell>
          <cell r="O49">
            <v>23315</v>
          </cell>
        </row>
        <row r="50">
          <cell r="B50">
            <v>10553</v>
          </cell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26000</v>
          </cell>
          <cell r="J50">
            <v>31</v>
          </cell>
          <cell r="K50">
            <v>12</v>
          </cell>
          <cell r="L50">
            <v>26000</v>
          </cell>
          <cell r="M50">
            <v>839</v>
          </cell>
          <cell r="N50">
            <v>1500</v>
          </cell>
          <cell r="O50">
            <v>28339</v>
          </cell>
        </row>
        <row r="51">
          <cell r="B51">
            <v>10940</v>
          </cell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11542</v>
          </cell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23000</v>
          </cell>
          <cell r="J52">
            <v>31</v>
          </cell>
          <cell r="K52">
            <v>12</v>
          </cell>
          <cell r="L52">
            <v>23000</v>
          </cell>
          <cell r="M52">
            <v>742</v>
          </cell>
          <cell r="N52">
            <v>0</v>
          </cell>
          <cell r="O52">
            <v>23742</v>
          </cell>
        </row>
        <row r="53">
          <cell r="B53">
            <v>10449</v>
          </cell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640</v>
          </cell>
          <cell r="J53">
            <v>29</v>
          </cell>
          <cell r="K53">
            <v>0</v>
          </cell>
          <cell r="L53">
            <v>18560</v>
          </cell>
          <cell r="M53">
            <v>0</v>
          </cell>
          <cell r="N53">
            <v>0</v>
          </cell>
          <cell r="O53">
            <v>18560</v>
          </cell>
        </row>
        <row r="54">
          <cell r="B54">
            <v>11344</v>
          </cell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11455</v>
          </cell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196</v>
          </cell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25250</v>
          </cell>
          <cell r="J56">
            <v>31</v>
          </cell>
          <cell r="K56">
            <v>25</v>
          </cell>
          <cell r="L56">
            <v>25250</v>
          </cell>
          <cell r="M56">
            <v>1697</v>
          </cell>
          <cell r="N56">
            <v>0</v>
          </cell>
          <cell r="O56">
            <v>26947</v>
          </cell>
        </row>
        <row r="57">
          <cell r="B57">
            <v>10499</v>
          </cell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415</v>
          </cell>
          <cell r="J57">
            <v>31</v>
          </cell>
          <cell r="K57">
            <v>94</v>
          </cell>
          <cell r="L57">
            <v>12865</v>
          </cell>
          <cell r="M57">
            <v>9752.5</v>
          </cell>
          <cell r="N57">
            <v>0</v>
          </cell>
          <cell r="O57">
            <v>22617.5</v>
          </cell>
        </row>
        <row r="58">
          <cell r="B58">
            <v>10614</v>
          </cell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10723</v>
          </cell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25000</v>
          </cell>
          <cell r="J59">
            <v>31</v>
          </cell>
          <cell r="K59">
            <v>41</v>
          </cell>
          <cell r="L59">
            <v>25000</v>
          </cell>
          <cell r="M59">
            <v>2755</v>
          </cell>
          <cell r="N59">
            <v>0</v>
          </cell>
          <cell r="O59">
            <v>27755</v>
          </cell>
        </row>
        <row r="60">
          <cell r="B60">
            <v>11250</v>
          </cell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26000</v>
          </cell>
          <cell r="J60">
            <v>18</v>
          </cell>
          <cell r="K60">
            <v>28</v>
          </cell>
          <cell r="L60">
            <v>15096.774193548388</v>
          </cell>
          <cell r="M60">
            <v>1957</v>
          </cell>
          <cell r="N60">
            <v>0</v>
          </cell>
          <cell r="O60">
            <v>17053.774193548386</v>
          </cell>
        </row>
        <row r="61">
          <cell r="B61">
            <v>11012</v>
          </cell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31</v>
          </cell>
          <cell r="K61">
            <v>51</v>
          </cell>
          <cell r="L61">
            <v>25000</v>
          </cell>
          <cell r="M61">
            <v>3427</v>
          </cell>
          <cell r="N61">
            <v>0</v>
          </cell>
          <cell r="O61">
            <v>28427</v>
          </cell>
        </row>
        <row r="62">
          <cell r="B62">
            <v>10746</v>
          </cell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11287</v>
          </cell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25000</v>
          </cell>
          <cell r="J63">
            <v>31</v>
          </cell>
          <cell r="K63">
            <v>36</v>
          </cell>
          <cell r="L63">
            <v>25000</v>
          </cell>
          <cell r="M63">
            <v>2419</v>
          </cell>
          <cell r="N63">
            <v>0</v>
          </cell>
          <cell r="O63">
            <v>27419</v>
          </cell>
        </row>
        <row r="64">
          <cell r="B64">
            <v>11424</v>
          </cell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395</v>
          </cell>
          <cell r="J64">
            <v>31</v>
          </cell>
          <cell r="K64">
            <v>138</v>
          </cell>
          <cell r="L64">
            <v>12245</v>
          </cell>
          <cell r="M64">
            <v>13627.5</v>
          </cell>
          <cell r="N64">
            <v>0</v>
          </cell>
          <cell r="O64">
            <v>25872.5</v>
          </cell>
        </row>
        <row r="65">
          <cell r="B65">
            <v>10729</v>
          </cell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11332</v>
          </cell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11439</v>
          </cell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11240</v>
          </cell>
          <cell r="C68" t="str">
            <v>RAHUL KUMAR</v>
          </cell>
          <cell r="H68" t="str">
            <v>R</v>
          </cell>
          <cell r="I68">
            <v>335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11675</v>
          </cell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8.5</v>
          </cell>
          <cell r="K69">
            <v>0</v>
          </cell>
          <cell r="L69">
            <v>5758.0645161290322</v>
          </cell>
          <cell r="M69">
            <v>0</v>
          </cell>
          <cell r="N69">
            <v>0</v>
          </cell>
          <cell r="O69">
            <v>5758.0645161290322</v>
          </cell>
        </row>
        <row r="70">
          <cell r="B70">
            <v>11662</v>
          </cell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10805</v>
          </cell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25500</v>
          </cell>
          <cell r="J71">
            <v>26</v>
          </cell>
          <cell r="K71">
            <v>22</v>
          </cell>
          <cell r="L71">
            <v>21387.096774193549</v>
          </cell>
          <cell r="M71">
            <v>1508</v>
          </cell>
          <cell r="N71">
            <v>0</v>
          </cell>
          <cell r="O71">
            <v>22895.096774193549</v>
          </cell>
        </row>
        <row r="72">
          <cell r="B72">
            <v>11246</v>
          </cell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19</v>
          </cell>
          <cell r="K72">
            <v>0</v>
          </cell>
          <cell r="L72">
            <v>14709.677419354839</v>
          </cell>
          <cell r="M72">
            <v>0</v>
          </cell>
          <cell r="N72">
            <v>0</v>
          </cell>
          <cell r="O72">
            <v>14709.677419354839</v>
          </cell>
        </row>
        <row r="73">
          <cell r="B73">
            <v>11596</v>
          </cell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350</v>
          </cell>
          <cell r="J73">
            <v>31</v>
          </cell>
          <cell r="K73">
            <v>92</v>
          </cell>
          <cell r="L73">
            <v>10850</v>
          </cell>
          <cell r="M73">
            <v>8050</v>
          </cell>
          <cell r="N73">
            <v>0</v>
          </cell>
          <cell r="O73">
            <v>18900</v>
          </cell>
        </row>
        <row r="74">
          <cell r="B74">
            <v>10487</v>
          </cell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460</v>
          </cell>
          <cell r="J74">
            <v>27</v>
          </cell>
          <cell r="K74">
            <v>93</v>
          </cell>
          <cell r="L74">
            <v>12420</v>
          </cell>
          <cell r="M74">
            <v>10695</v>
          </cell>
          <cell r="N74">
            <v>0</v>
          </cell>
          <cell r="O74">
            <v>23115</v>
          </cell>
        </row>
        <row r="75">
          <cell r="B75">
            <v>10705</v>
          </cell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465</v>
          </cell>
          <cell r="J75">
            <v>21</v>
          </cell>
          <cell r="K75">
            <v>74</v>
          </cell>
          <cell r="L75">
            <v>9765</v>
          </cell>
          <cell r="M75">
            <v>8602.5</v>
          </cell>
          <cell r="N75">
            <v>0</v>
          </cell>
          <cell r="O75">
            <v>18367.5</v>
          </cell>
        </row>
        <row r="76">
          <cell r="B76">
            <v>10734</v>
          </cell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25000</v>
          </cell>
          <cell r="J76">
            <v>31</v>
          </cell>
          <cell r="K76">
            <v>2</v>
          </cell>
          <cell r="L76">
            <v>25000</v>
          </cell>
          <cell r="M76">
            <v>134</v>
          </cell>
          <cell r="N76">
            <v>0</v>
          </cell>
          <cell r="O76">
            <v>25134</v>
          </cell>
        </row>
        <row r="77">
          <cell r="B77">
            <v>11024</v>
          </cell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24250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1500</v>
          </cell>
          <cell r="O77">
            <v>1500</v>
          </cell>
        </row>
        <row r="78">
          <cell r="B78">
            <v>11297</v>
          </cell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25000</v>
          </cell>
          <cell r="J78">
            <v>29</v>
          </cell>
          <cell r="K78">
            <v>50</v>
          </cell>
          <cell r="L78">
            <v>23387.096774193549</v>
          </cell>
          <cell r="M78">
            <v>3360</v>
          </cell>
          <cell r="N78">
            <v>0</v>
          </cell>
          <cell r="O78">
            <v>26747.096774193549</v>
          </cell>
        </row>
        <row r="79">
          <cell r="B79">
            <v>10731</v>
          </cell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410</v>
          </cell>
          <cell r="J79">
            <v>31</v>
          </cell>
          <cell r="K79">
            <v>92</v>
          </cell>
          <cell r="L79">
            <v>12710</v>
          </cell>
          <cell r="M79">
            <v>9430</v>
          </cell>
          <cell r="N79">
            <v>0</v>
          </cell>
          <cell r="O79">
            <v>22140</v>
          </cell>
        </row>
        <row r="80">
          <cell r="B80">
            <v>11388</v>
          </cell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22000</v>
          </cell>
          <cell r="J80">
            <v>29</v>
          </cell>
          <cell r="K80">
            <v>0</v>
          </cell>
          <cell r="L80">
            <v>20580.645161290322</v>
          </cell>
          <cell r="M80">
            <v>0</v>
          </cell>
          <cell r="N80">
            <v>0</v>
          </cell>
          <cell r="O80">
            <v>20580.645161290322</v>
          </cell>
        </row>
        <row r="81">
          <cell r="B81">
            <v>11302</v>
          </cell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24000</v>
          </cell>
          <cell r="J81">
            <v>20</v>
          </cell>
          <cell r="K81">
            <v>26</v>
          </cell>
          <cell r="L81">
            <v>15483.870967741936</v>
          </cell>
          <cell r="M81">
            <v>1677</v>
          </cell>
          <cell r="N81">
            <v>0</v>
          </cell>
          <cell r="O81">
            <v>17160.870967741936</v>
          </cell>
        </row>
        <row r="82">
          <cell r="B82">
            <v>11680</v>
          </cell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10000</v>
          </cell>
          <cell r="J82">
            <v>30</v>
          </cell>
          <cell r="K82">
            <v>0</v>
          </cell>
          <cell r="L82">
            <v>9677.4193548387084</v>
          </cell>
          <cell r="M82">
            <v>0</v>
          </cell>
          <cell r="N82">
            <v>0</v>
          </cell>
          <cell r="O82">
            <v>9677.4193548387084</v>
          </cell>
        </row>
        <row r="83">
          <cell r="B83">
            <v>11370</v>
          </cell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16500</v>
          </cell>
          <cell r="J83">
            <v>36</v>
          </cell>
          <cell r="K83">
            <v>0</v>
          </cell>
          <cell r="L83">
            <v>19161.290322580644</v>
          </cell>
          <cell r="M83">
            <v>0</v>
          </cell>
          <cell r="N83">
            <v>0</v>
          </cell>
          <cell r="O83">
            <v>19161.290322580644</v>
          </cell>
        </row>
        <row r="84">
          <cell r="B84">
            <v>11048</v>
          </cell>
          <cell r="C84" t="str">
            <v>MALLI SUMAN</v>
          </cell>
          <cell r="E84" t="str">
            <v>TORANAGALLU</v>
          </cell>
          <cell r="F84" t="str">
            <v>007001005268</v>
          </cell>
          <cell r="G84" t="str">
            <v>ICIC00VSCBL</v>
          </cell>
          <cell r="H84" t="str">
            <v>H</v>
          </cell>
          <cell r="I84">
            <v>17000</v>
          </cell>
          <cell r="J84">
            <v>26</v>
          </cell>
          <cell r="K84">
            <v>0</v>
          </cell>
          <cell r="L84">
            <v>14258.064516129032</v>
          </cell>
          <cell r="M84">
            <v>0</v>
          </cell>
          <cell r="N84">
            <v>0</v>
          </cell>
          <cell r="O84">
            <v>14258.064516129032</v>
          </cell>
        </row>
        <row r="85">
          <cell r="B85">
            <v>11701</v>
          </cell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29500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11719</v>
          </cell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28000</v>
          </cell>
          <cell r="J86">
            <v>31</v>
          </cell>
          <cell r="K86">
            <v>0</v>
          </cell>
          <cell r="L86">
            <v>28000</v>
          </cell>
          <cell r="M86">
            <v>0</v>
          </cell>
          <cell r="N86">
            <v>0</v>
          </cell>
          <cell r="O86">
            <v>28000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J87">
            <v>20.5</v>
          </cell>
          <cell r="K87">
            <v>0</v>
          </cell>
          <cell r="L87">
            <v>13225.806451612903</v>
          </cell>
          <cell r="M87">
            <v>0</v>
          </cell>
          <cell r="N87">
            <v>1000</v>
          </cell>
          <cell r="O87">
            <v>14225.806451612903</v>
          </cell>
        </row>
        <row r="88">
          <cell r="B88">
            <v>11824</v>
          </cell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28</v>
          </cell>
          <cell r="K88">
            <v>114</v>
          </cell>
          <cell r="L88">
            <v>11480</v>
          </cell>
          <cell r="M88">
            <v>11685</v>
          </cell>
          <cell r="N88">
            <v>0</v>
          </cell>
          <cell r="O88">
            <v>23165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11817</v>
          </cell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J90">
            <v>31</v>
          </cell>
          <cell r="K90">
            <v>95</v>
          </cell>
          <cell r="L90">
            <v>9300</v>
          </cell>
          <cell r="M90">
            <v>7125</v>
          </cell>
          <cell r="N90">
            <v>0</v>
          </cell>
          <cell r="O90">
            <v>16425</v>
          </cell>
        </row>
        <row r="91">
          <cell r="B91">
            <v>11820</v>
          </cell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24</v>
          </cell>
          <cell r="K91">
            <v>16</v>
          </cell>
          <cell r="L91">
            <v>21677.419354838712</v>
          </cell>
          <cell r="M91">
            <v>1204</v>
          </cell>
          <cell r="N91">
            <v>0</v>
          </cell>
          <cell r="O91">
            <v>22881.419354838712</v>
          </cell>
        </row>
        <row r="92">
          <cell r="B92">
            <v>11818</v>
          </cell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45000</v>
          </cell>
          <cell r="J92">
            <v>27</v>
          </cell>
          <cell r="K92">
            <v>24</v>
          </cell>
          <cell r="L92">
            <v>39193.548387096773</v>
          </cell>
          <cell r="M92">
            <v>2903</v>
          </cell>
          <cell r="N92">
            <v>0</v>
          </cell>
          <cell r="O92">
            <v>42096.548387096773</v>
          </cell>
        </row>
        <row r="93">
          <cell r="B93">
            <v>11804</v>
          </cell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30.5</v>
          </cell>
          <cell r="K93">
            <v>0</v>
          </cell>
          <cell r="L93">
            <v>16725.806451612902</v>
          </cell>
          <cell r="M93">
            <v>0</v>
          </cell>
          <cell r="N93">
            <v>0</v>
          </cell>
          <cell r="O93">
            <v>16725.806451612902</v>
          </cell>
        </row>
        <row r="94">
          <cell r="B94">
            <v>11806</v>
          </cell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30.5</v>
          </cell>
          <cell r="K94">
            <v>0</v>
          </cell>
          <cell r="L94">
            <v>16725.806451612902</v>
          </cell>
          <cell r="M94">
            <v>0</v>
          </cell>
          <cell r="N94">
            <v>0</v>
          </cell>
          <cell r="O94">
            <v>16725.806451612902</v>
          </cell>
        </row>
        <row r="95">
          <cell r="B95">
            <v>11807</v>
          </cell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11821</v>
          </cell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31</v>
          </cell>
          <cell r="K96">
            <v>47</v>
          </cell>
          <cell r="L96">
            <v>23000</v>
          </cell>
          <cell r="M96">
            <v>2906</v>
          </cell>
          <cell r="N96">
            <v>0</v>
          </cell>
          <cell r="O96">
            <v>25906</v>
          </cell>
        </row>
        <row r="97">
          <cell r="B97">
            <v>11805</v>
          </cell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30</v>
          </cell>
          <cell r="K97">
            <v>0</v>
          </cell>
          <cell r="L97">
            <v>16451.612903225807</v>
          </cell>
          <cell r="M97">
            <v>0</v>
          </cell>
          <cell r="N97">
            <v>0</v>
          </cell>
          <cell r="O97">
            <v>16451.612903225807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11822</v>
          </cell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RAKESH</v>
          </cell>
          <cell r="H100" t="str">
            <v>W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11332</v>
          </cell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31</v>
          </cell>
          <cell r="K102">
            <v>6</v>
          </cell>
          <cell r="L102">
            <v>20000</v>
          </cell>
          <cell r="M102">
            <v>323</v>
          </cell>
          <cell r="N102">
            <v>0</v>
          </cell>
          <cell r="O102">
            <v>20323</v>
          </cell>
        </row>
        <row r="103">
          <cell r="B103">
            <v>11828</v>
          </cell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11827</v>
          </cell>
          <cell r="C104" t="str">
            <v>MONU KUMAR</v>
          </cell>
          <cell r="F104" t="str">
            <v>4002205677</v>
          </cell>
          <cell r="G104" t="str">
            <v>CBIN0283387</v>
          </cell>
          <cell r="H104" t="str">
            <v>K</v>
          </cell>
          <cell r="I104">
            <v>900</v>
          </cell>
          <cell r="J104">
            <v>31</v>
          </cell>
          <cell r="K104">
            <v>13</v>
          </cell>
          <cell r="L104">
            <v>27900</v>
          </cell>
          <cell r="M104">
            <v>975</v>
          </cell>
          <cell r="N104">
            <v>0</v>
          </cell>
          <cell r="O104">
            <v>28875</v>
          </cell>
        </row>
        <row r="105">
          <cell r="C105" t="str">
            <v>JAGDISH MAHATO</v>
          </cell>
          <cell r="F105" t="str">
            <v>1002281030158009</v>
          </cell>
          <cell r="G105" t="str">
            <v>CBIN0R10001</v>
          </cell>
          <cell r="H105" t="str">
            <v>K</v>
          </cell>
          <cell r="I105">
            <v>900</v>
          </cell>
          <cell r="J105">
            <v>31</v>
          </cell>
          <cell r="K105">
            <v>18</v>
          </cell>
          <cell r="L105">
            <v>27900</v>
          </cell>
          <cell r="M105">
            <v>1350</v>
          </cell>
          <cell r="N105">
            <v>0</v>
          </cell>
          <cell r="O105">
            <v>29250</v>
          </cell>
        </row>
        <row r="106">
          <cell r="B106">
            <v>11831</v>
          </cell>
          <cell r="C106" t="str">
            <v>MUNNU KUMAR SINGH</v>
          </cell>
          <cell r="F106" t="str">
            <v>002810284843</v>
          </cell>
          <cell r="G106" t="str">
            <v>IPOS0000001</v>
          </cell>
          <cell r="H106" t="str">
            <v>R</v>
          </cell>
          <cell r="I106">
            <v>1200</v>
          </cell>
          <cell r="J106">
            <v>31</v>
          </cell>
          <cell r="K106">
            <v>23</v>
          </cell>
          <cell r="L106">
            <v>37200</v>
          </cell>
          <cell r="M106">
            <v>2300</v>
          </cell>
          <cell r="N106">
            <v>0</v>
          </cell>
          <cell r="O106">
            <v>39500</v>
          </cell>
        </row>
        <row r="107">
          <cell r="B107">
            <v>11830</v>
          </cell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25</v>
          </cell>
          <cell r="K107">
            <v>16</v>
          </cell>
          <cell r="L107">
            <v>22500</v>
          </cell>
          <cell r="M107">
            <v>1200</v>
          </cell>
          <cell r="N107">
            <v>0</v>
          </cell>
          <cell r="O107">
            <v>23700</v>
          </cell>
        </row>
        <row r="108">
          <cell r="B108">
            <v>11832</v>
          </cell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1200</v>
          </cell>
          <cell r="J108">
            <v>30</v>
          </cell>
          <cell r="K108">
            <v>18</v>
          </cell>
          <cell r="L108">
            <v>36000</v>
          </cell>
          <cell r="M108">
            <v>1800</v>
          </cell>
          <cell r="N108">
            <v>0</v>
          </cell>
          <cell r="O108">
            <v>37800</v>
          </cell>
        </row>
        <row r="109">
          <cell r="B109">
            <v>11826</v>
          </cell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11833</v>
          </cell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J110">
            <v>31</v>
          </cell>
          <cell r="K110">
            <v>49</v>
          </cell>
          <cell r="L110">
            <v>22000</v>
          </cell>
          <cell r="M110">
            <v>2898</v>
          </cell>
          <cell r="N110">
            <v>0</v>
          </cell>
          <cell r="O110">
            <v>24898</v>
          </cell>
        </row>
        <row r="111">
          <cell r="B111">
            <v>11836</v>
          </cell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11837</v>
          </cell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11838</v>
          </cell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1200</v>
          </cell>
          <cell r="J113">
            <v>31</v>
          </cell>
          <cell r="K113">
            <v>16</v>
          </cell>
          <cell r="L113">
            <v>37200</v>
          </cell>
          <cell r="M113">
            <v>1600</v>
          </cell>
          <cell r="N113">
            <v>0</v>
          </cell>
          <cell r="O113">
            <v>38800</v>
          </cell>
        </row>
        <row r="114">
          <cell r="B114">
            <v>11835</v>
          </cell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11834</v>
          </cell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11611</v>
          </cell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31</v>
          </cell>
          <cell r="K119">
            <v>153</v>
          </cell>
          <cell r="L119">
            <v>10850</v>
          </cell>
          <cell r="M119">
            <v>13387.5</v>
          </cell>
          <cell r="N119">
            <v>0</v>
          </cell>
          <cell r="O119">
            <v>24237.5</v>
          </cell>
        </row>
        <row r="120">
          <cell r="B120">
            <v>11358</v>
          </cell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I120">
            <v>800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ROKALLA SYAMSUNDAR</v>
          </cell>
          <cell r="F125" t="str">
            <v>41415841085</v>
          </cell>
          <cell r="G125" t="str">
            <v>SBIN0015709</v>
          </cell>
          <cell r="H125" t="str">
            <v>H</v>
          </cell>
          <cell r="I125">
            <v>17000</v>
          </cell>
          <cell r="J125">
            <v>25.5</v>
          </cell>
          <cell r="K125">
            <v>0</v>
          </cell>
          <cell r="L125">
            <v>13983.870967741936</v>
          </cell>
          <cell r="M125">
            <v>0</v>
          </cell>
          <cell r="N125">
            <v>0</v>
          </cell>
          <cell r="O125">
            <v>13983.870967741936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30</v>
          </cell>
          <cell r="K126">
            <v>0</v>
          </cell>
          <cell r="L126">
            <v>16451.612903225807</v>
          </cell>
          <cell r="M126">
            <v>0</v>
          </cell>
          <cell r="N126">
            <v>0</v>
          </cell>
          <cell r="O126">
            <v>16451.612903225807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31</v>
          </cell>
          <cell r="K127">
            <v>46</v>
          </cell>
          <cell r="L127">
            <v>26000</v>
          </cell>
          <cell r="M127">
            <v>3215</v>
          </cell>
          <cell r="N127">
            <v>0</v>
          </cell>
          <cell r="O127">
            <v>29215</v>
          </cell>
        </row>
        <row r="128">
          <cell r="B128">
            <v>11841</v>
          </cell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31</v>
          </cell>
          <cell r="K128">
            <v>11</v>
          </cell>
          <cell r="L128">
            <v>25000</v>
          </cell>
          <cell r="M128">
            <v>739</v>
          </cell>
          <cell r="N128">
            <v>0</v>
          </cell>
          <cell r="O128">
            <v>25739</v>
          </cell>
        </row>
        <row r="129">
          <cell r="C129" t="str">
            <v>GUDIYA BALARAM SAHU</v>
          </cell>
          <cell r="I129">
            <v>18000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11850</v>
          </cell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J130">
            <v>31</v>
          </cell>
          <cell r="K130">
            <v>24</v>
          </cell>
          <cell r="L130">
            <v>33000</v>
          </cell>
          <cell r="M130">
            <v>2129</v>
          </cell>
          <cell r="N130">
            <v>0</v>
          </cell>
          <cell r="O130">
            <v>35129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28</v>
          </cell>
          <cell r="K131">
            <v>7</v>
          </cell>
          <cell r="L131">
            <v>19870.967741935481</v>
          </cell>
          <cell r="M131">
            <v>414</v>
          </cell>
          <cell r="N131">
            <v>0</v>
          </cell>
          <cell r="O131">
            <v>20284.967741935481</v>
          </cell>
        </row>
        <row r="132">
          <cell r="B132">
            <v>11845</v>
          </cell>
          <cell r="C132" t="str">
            <v>MOHD MUZAMIL</v>
          </cell>
          <cell r="F132" t="str">
            <v>39137070225</v>
          </cell>
          <cell r="G132" t="str">
            <v>SBIN0017683</v>
          </cell>
          <cell r="H132" t="str">
            <v>R</v>
          </cell>
          <cell r="I132">
            <v>25000</v>
          </cell>
          <cell r="J132">
            <v>29</v>
          </cell>
          <cell r="K132">
            <v>47</v>
          </cell>
          <cell r="L132">
            <v>23387.096774193549</v>
          </cell>
          <cell r="M132">
            <v>3159</v>
          </cell>
          <cell r="N132">
            <v>0</v>
          </cell>
          <cell r="O132">
            <v>26546.096774193549</v>
          </cell>
        </row>
        <row r="133">
          <cell r="C133" t="str">
            <v>DALIBANDHU PRADHAN</v>
          </cell>
          <cell r="I133">
            <v>18000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G DIWAKAR</v>
          </cell>
          <cell r="I134">
            <v>800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G DEENABANDHU</v>
          </cell>
          <cell r="I135">
            <v>800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B136">
            <v>11843</v>
          </cell>
          <cell r="C136" t="str">
            <v>ABHISHEK KUMAR</v>
          </cell>
          <cell r="F136" t="str">
            <v>35523566176</v>
          </cell>
          <cell r="G136" t="str">
            <v>SBIN0008186</v>
          </cell>
          <cell r="H136" t="str">
            <v>H</v>
          </cell>
          <cell r="I136">
            <v>25000</v>
          </cell>
          <cell r="J136">
            <v>31</v>
          </cell>
          <cell r="K136">
            <v>48</v>
          </cell>
          <cell r="L136">
            <v>25000</v>
          </cell>
          <cell r="M136">
            <v>3226</v>
          </cell>
          <cell r="N136">
            <v>0</v>
          </cell>
          <cell r="O136">
            <v>28226</v>
          </cell>
        </row>
        <row r="137">
          <cell r="B137">
            <v>11844</v>
          </cell>
          <cell r="C137" t="str">
            <v>NIRAJ KUMAR</v>
          </cell>
          <cell r="F137" t="str">
            <v>52930100003890</v>
          </cell>
          <cell r="G137" t="str">
            <v>BARB0BALTHI</v>
          </cell>
          <cell r="H137" t="str">
            <v>K</v>
          </cell>
          <cell r="I137">
            <v>25000</v>
          </cell>
          <cell r="J137">
            <v>31</v>
          </cell>
          <cell r="K137">
            <v>45</v>
          </cell>
          <cell r="L137">
            <v>25000</v>
          </cell>
          <cell r="M137">
            <v>3024</v>
          </cell>
          <cell r="N137">
            <v>0</v>
          </cell>
          <cell r="O137">
            <v>28024</v>
          </cell>
        </row>
        <row r="138">
          <cell r="B138">
            <v>11849</v>
          </cell>
          <cell r="C138" t="str">
            <v>ANIRUDH RAY</v>
          </cell>
          <cell r="H138" t="str">
            <v>K</v>
          </cell>
          <cell r="I138">
            <v>18000</v>
          </cell>
          <cell r="J138">
            <v>31</v>
          </cell>
          <cell r="K138">
            <v>0</v>
          </cell>
          <cell r="L138">
            <v>18000</v>
          </cell>
          <cell r="M138">
            <v>0</v>
          </cell>
          <cell r="N138">
            <v>0</v>
          </cell>
          <cell r="O138">
            <v>18000</v>
          </cell>
        </row>
        <row r="139">
          <cell r="B139">
            <v>11847</v>
          </cell>
          <cell r="C139" t="str">
            <v>AJAYA KUMAR PRADHAN</v>
          </cell>
          <cell r="I139">
            <v>800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11851</v>
          </cell>
          <cell r="C140" t="str">
            <v>ANSARI ROHAN JAMIL AKHTER</v>
          </cell>
          <cell r="I140">
            <v>22000</v>
          </cell>
          <cell r="J140">
            <v>8</v>
          </cell>
          <cell r="K140">
            <v>2</v>
          </cell>
          <cell r="L140">
            <v>5677.4193548387093</v>
          </cell>
          <cell r="M140">
            <v>118</v>
          </cell>
          <cell r="N140">
            <v>0</v>
          </cell>
          <cell r="O140">
            <v>5795.4193548387093</v>
          </cell>
        </row>
        <row r="141">
          <cell r="B141">
            <v>11846</v>
          </cell>
          <cell r="C141" t="str">
            <v>RAJAN KUMAR GOND</v>
          </cell>
          <cell r="H141" t="str">
            <v>H.O</v>
          </cell>
          <cell r="J141">
            <v>23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NITESH KUMAR</v>
          </cell>
          <cell r="H142" t="str">
            <v>K</v>
          </cell>
          <cell r="I142">
            <v>20000</v>
          </cell>
          <cell r="J142">
            <v>16</v>
          </cell>
          <cell r="K142">
            <v>0</v>
          </cell>
          <cell r="L142">
            <v>10322.58064516129</v>
          </cell>
          <cell r="M142">
            <v>0</v>
          </cell>
          <cell r="N142">
            <v>0</v>
          </cell>
          <cell r="O142">
            <v>10322.58064516129</v>
          </cell>
        </row>
        <row r="143">
          <cell r="C143" t="str">
            <v>JAYRAM PRADHAN</v>
          </cell>
          <cell r="H143" t="str">
            <v>R</v>
          </cell>
          <cell r="I143">
            <v>1000</v>
          </cell>
          <cell r="J143">
            <v>2</v>
          </cell>
          <cell r="K143">
            <v>2</v>
          </cell>
          <cell r="L143">
            <v>2000</v>
          </cell>
          <cell r="M143">
            <v>166.66666666666666</v>
          </cell>
          <cell r="O143">
            <v>2166.6666666666665</v>
          </cell>
        </row>
        <row r="144">
          <cell r="C144" t="str">
            <v>BINAY PRADHAN</v>
          </cell>
          <cell r="H144" t="str">
            <v>R</v>
          </cell>
          <cell r="I144">
            <v>1000</v>
          </cell>
          <cell r="J144">
            <v>2</v>
          </cell>
          <cell r="K144">
            <v>0</v>
          </cell>
          <cell r="L144">
            <v>2000</v>
          </cell>
          <cell r="M144">
            <v>0</v>
          </cell>
          <cell r="O144">
            <v>2000</v>
          </cell>
        </row>
        <row r="145">
          <cell r="C145" t="str">
            <v>NARASINGH PRADHAN</v>
          </cell>
          <cell r="H145" t="str">
            <v>R</v>
          </cell>
          <cell r="I145">
            <v>1000</v>
          </cell>
          <cell r="J145">
            <v>3</v>
          </cell>
          <cell r="K145">
            <v>0</v>
          </cell>
          <cell r="L145">
            <v>3000</v>
          </cell>
          <cell r="M145">
            <v>0</v>
          </cell>
          <cell r="O145">
            <v>3000</v>
          </cell>
        </row>
      </sheetData>
      <sheetData sheetId="13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28</v>
          </cell>
          <cell r="K5">
            <v>0</v>
          </cell>
          <cell r="L5">
            <v>63499.999999999993</v>
          </cell>
          <cell r="M5">
            <v>0</v>
          </cell>
          <cell r="N5">
            <v>0</v>
          </cell>
          <cell r="O5">
            <v>63499.999999999993</v>
          </cell>
          <cell r="Q5">
            <v>0</v>
          </cell>
          <cell r="R5">
            <v>0</v>
          </cell>
          <cell r="S5">
            <v>63500</v>
          </cell>
          <cell r="U5">
            <v>0</v>
          </cell>
          <cell r="V5">
            <v>0</v>
          </cell>
        </row>
        <row r="6">
          <cell r="C6" t="str">
            <v>CHANDRA SEKHAR SHARE PUPPALA</v>
          </cell>
          <cell r="D6" t="str">
            <v>ICICI</v>
          </cell>
          <cell r="E6" t="str">
            <v>SECUNDERABAD</v>
          </cell>
          <cell r="F6" t="str">
            <v>004801542856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28</v>
          </cell>
          <cell r="K6">
            <v>0</v>
          </cell>
          <cell r="L6">
            <v>63499.999999999993</v>
          </cell>
          <cell r="M6">
            <v>0</v>
          </cell>
          <cell r="N6">
            <v>0</v>
          </cell>
          <cell r="O6">
            <v>63499.999999999993</v>
          </cell>
          <cell r="Q6">
            <v>0</v>
          </cell>
          <cell r="R6">
            <v>64000</v>
          </cell>
          <cell r="S6">
            <v>-500</v>
          </cell>
          <cell r="U6">
            <v>0</v>
          </cell>
          <cell r="V6">
            <v>0</v>
          </cell>
        </row>
        <row r="7"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25</v>
          </cell>
          <cell r="L7">
            <v>32946.428571428572</v>
          </cell>
          <cell r="M7">
            <v>0</v>
          </cell>
          <cell r="N7">
            <v>1750</v>
          </cell>
          <cell r="O7">
            <v>34696.428571428572</v>
          </cell>
          <cell r="Q7">
            <v>0</v>
          </cell>
          <cell r="R7">
            <v>34696</v>
          </cell>
          <cell r="S7">
            <v>0</v>
          </cell>
          <cell r="U7">
            <v>4000</v>
          </cell>
          <cell r="V7">
            <v>0</v>
          </cell>
          <cell r="W7">
            <v>2000</v>
          </cell>
        </row>
        <row r="8"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25</v>
          </cell>
          <cell r="L8">
            <v>46875</v>
          </cell>
          <cell r="M8">
            <v>0</v>
          </cell>
          <cell r="N8">
            <v>1750</v>
          </cell>
          <cell r="O8">
            <v>48625</v>
          </cell>
          <cell r="Q8">
            <v>0</v>
          </cell>
          <cell r="R8">
            <v>48625</v>
          </cell>
          <cell r="S8">
            <v>0</v>
          </cell>
          <cell r="U8">
            <v>0</v>
          </cell>
          <cell r="V8">
            <v>0</v>
          </cell>
        </row>
        <row r="9"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28</v>
          </cell>
          <cell r="L9">
            <v>30250</v>
          </cell>
          <cell r="M9">
            <v>0</v>
          </cell>
          <cell r="N9">
            <v>3200</v>
          </cell>
          <cell r="O9">
            <v>33450</v>
          </cell>
          <cell r="Q9">
            <v>0</v>
          </cell>
          <cell r="R9">
            <v>33450</v>
          </cell>
          <cell r="S9">
            <v>0</v>
          </cell>
          <cell r="U9">
            <v>4000</v>
          </cell>
          <cell r="V9">
            <v>0</v>
          </cell>
          <cell r="W9">
            <v>2000</v>
          </cell>
        </row>
        <row r="10"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22</v>
          </cell>
          <cell r="L10">
            <v>40071.428571428572</v>
          </cell>
          <cell r="M10">
            <v>0</v>
          </cell>
          <cell r="N10">
            <v>1600</v>
          </cell>
          <cell r="O10">
            <v>41671.428571428572</v>
          </cell>
          <cell r="Q10">
            <v>0</v>
          </cell>
          <cell r="R10">
            <v>41671</v>
          </cell>
          <cell r="S10">
            <v>0</v>
          </cell>
          <cell r="U10">
            <v>8000</v>
          </cell>
          <cell r="V10">
            <v>0</v>
          </cell>
          <cell r="W10">
            <v>4000</v>
          </cell>
        </row>
        <row r="11"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28</v>
          </cell>
          <cell r="L11">
            <v>38500</v>
          </cell>
          <cell r="M11">
            <v>0</v>
          </cell>
          <cell r="N11">
            <v>3300</v>
          </cell>
          <cell r="O11">
            <v>41800</v>
          </cell>
          <cell r="Q11">
            <v>0</v>
          </cell>
          <cell r="R11">
            <v>41800</v>
          </cell>
          <cell r="S11">
            <v>0</v>
          </cell>
          <cell r="U11">
            <v>0</v>
          </cell>
          <cell r="V11">
            <v>0</v>
          </cell>
        </row>
        <row r="12"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27</v>
          </cell>
          <cell r="L12">
            <v>44839.285714285717</v>
          </cell>
          <cell r="M12">
            <v>0</v>
          </cell>
          <cell r="N12">
            <v>5350</v>
          </cell>
          <cell r="O12">
            <v>50189.285714285717</v>
          </cell>
          <cell r="Q12">
            <v>0</v>
          </cell>
          <cell r="R12">
            <v>50189</v>
          </cell>
          <cell r="S12">
            <v>0</v>
          </cell>
          <cell r="U12">
            <v>8000</v>
          </cell>
          <cell r="V12">
            <v>20000</v>
          </cell>
          <cell r="W12">
            <v>4000</v>
          </cell>
        </row>
        <row r="13"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25</v>
          </cell>
          <cell r="K13">
            <v>30</v>
          </cell>
          <cell r="L13">
            <v>22767.857142857141</v>
          </cell>
          <cell r="M13">
            <v>2056</v>
          </cell>
          <cell r="N13">
            <v>3400</v>
          </cell>
          <cell r="O13">
            <v>28223.857142857141</v>
          </cell>
          <cell r="Q13">
            <v>0</v>
          </cell>
          <cell r="R13">
            <v>28224</v>
          </cell>
          <cell r="S13">
            <v>0</v>
          </cell>
          <cell r="U13">
            <v>4000</v>
          </cell>
          <cell r="V13">
            <v>0</v>
          </cell>
          <cell r="W13">
            <v>2000</v>
          </cell>
        </row>
        <row r="14"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28</v>
          </cell>
          <cell r="L14">
            <v>32000</v>
          </cell>
          <cell r="M14">
            <v>0</v>
          </cell>
          <cell r="N14">
            <v>2100</v>
          </cell>
          <cell r="O14">
            <v>34100</v>
          </cell>
          <cell r="Q14">
            <v>0</v>
          </cell>
          <cell r="R14">
            <v>34100</v>
          </cell>
          <cell r="S14">
            <v>0</v>
          </cell>
          <cell r="U14">
            <v>4000</v>
          </cell>
          <cell r="V14">
            <v>15000</v>
          </cell>
          <cell r="W14">
            <v>2000</v>
          </cell>
        </row>
        <row r="15"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19</v>
          </cell>
          <cell r="K15">
            <v>0</v>
          </cell>
          <cell r="L15">
            <v>27007.142857142855</v>
          </cell>
          <cell r="M15">
            <v>0</v>
          </cell>
          <cell r="N15">
            <v>1450</v>
          </cell>
          <cell r="O15">
            <v>28457.142857142855</v>
          </cell>
          <cell r="Q15">
            <v>0</v>
          </cell>
          <cell r="R15">
            <v>28457</v>
          </cell>
          <cell r="S15">
            <v>0</v>
          </cell>
          <cell r="U15">
            <v>6000</v>
          </cell>
          <cell r="V15">
            <v>30000</v>
          </cell>
          <cell r="W15">
            <v>4000</v>
          </cell>
        </row>
        <row r="16"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28</v>
          </cell>
          <cell r="K16">
            <v>48</v>
          </cell>
          <cell r="L16">
            <v>36000</v>
          </cell>
          <cell r="M16">
            <v>4645</v>
          </cell>
          <cell r="N16">
            <v>1700</v>
          </cell>
          <cell r="O16">
            <v>42345</v>
          </cell>
          <cell r="Q16">
            <v>0</v>
          </cell>
          <cell r="R16">
            <v>42345</v>
          </cell>
          <cell r="S16">
            <v>0</v>
          </cell>
          <cell r="U16">
            <v>5000</v>
          </cell>
          <cell r="V16">
            <v>5000</v>
          </cell>
          <cell r="W16">
            <v>2000</v>
          </cell>
        </row>
        <row r="17"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28</v>
          </cell>
          <cell r="L17">
            <v>48000</v>
          </cell>
          <cell r="M17">
            <v>0</v>
          </cell>
          <cell r="N17">
            <v>3100</v>
          </cell>
          <cell r="O17">
            <v>51100</v>
          </cell>
          <cell r="Q17">
            <v>0</v>
          </cell>
          <cell r="R17">
            <v>51100</v>
          </cell>
          <cell r="S17">
            <v>0</v>
          </cell>
          <cell r="U17">
            <v>4000</v>
          </cell>
          <cell r="V17">
            <v>0</v>
          </cell>
          <cell r="W17">
            <v>2000</v>
          </cell>
        </row>
        <row r="18"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28</v>
          </cell>
          <cell r="L18">
            <v>37500</v>
          </cell>
          <cell r="M18">
            <v>0</v>
          </cell>
          <cell r="N18">
            <v>3900</v>
          </cell>
          <cell r="O18">
            <v>41400</v>
          </cell>
          <cell r="Q18">
            <v>0</v>
          </cell>
          <cell r="R18">
            <v>41400</v>
          </cell>
          <cell r="S18">
            <v>0</v>
          </cell>
          <cell r="U18">
            <v>4000</v>
          </cell>
          <cell r="V18">
            <v>0</v>
          </cell>
          <cell r="W18">
            <v>5000</v>
          </cell>
        </row>
        <row r="19"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22</v>
          </cell>
          <cell r="L19">
            <v>24750</v>
          </cell>
          <cell r="M19">
            <v>0</v>
          </cell>
          <cell r="N19">
            <v>2200</v>
          </cell>
          <cell r="O19">
            <v>26950</v>
          </cell>
          <cell r="Q19">
            <v>0</v>
          </cell>
          <cell r="R19">
            <v>26950</v>
          </cell>
          <cell r="S19">
            <v>0</v>
          </cell>
          <cell r="U19">
            <v>4500</v>
          </cell>
          <cell r="V19">
            <v>0</v>
          </cell>
          <cell r="W19">
            <v>4000</v>
          </cell>
        </row>
        <row r="20"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28</v>
          </cell>
          <cell r="L20">
            <v>36000</v>
          </cell>
          <cell r="M20">
            <v>0</v>
          </cell>
          <cell r="N20">
            <v>1900</v>
          </cell>
          <cell r="O20">
            <v>37900</v>
          </cell>
          <cell r="Q20">
            <v>0</v>
          </cell>
          <cell r="R20">
            <v>37900</v>
          </cell>
          <cell r="S20">
            <v>0</v>
          </cell>
          <cell r="U20">
            <v>4000</v>
          </cell>
          <cell r="V20">
            <v>0</v>
          </cell>
          <cell r="W20">
            <v>2000</v>
          </cell>
        </row>
        <row r="21"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27</v>
          </cell>
          <cell r="L21">
            <v>34714.285714285717</v>
          </cell>
          <cell r="M21">
            <v>0</v>
          </cell>
          <cell r="N21">
            <v>1650</v>
          </cell>
          <cell r="O21">
            <v>36364.285714285717</v>
          </cell>
          <cell r="Q21">
            <v>0</v>
          </cell>
          <cell r="R21">
            <v>36364</v>
          </cell>
          <cell r="S21">
            <v>0</v>
          </cell>
          <cell r="U21">
            <v>4000</v>
          </cell>
          <cell r="V21">
            <v>0</v>
          </cell>
          <cell r="W21">
            <v>2000</v>
          </cell>
        </row>
        <row r="22"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28</v>
          </cell>
          <cell r="L22">
            <v>31500</v>
          </cell>
          <cell r="M22">
            <v>0</v>
          </cell>
          <cell r="N22">
            <v>1700</v>
          </cell>
          <cell r="O22">
            <v>33200</v>
          </cell>
          <cell r="Q22">
            <v>0</v>
          </cell>
          <cell r="R22">
            <v>33200</v>
          </cell>
          <cell r="S22">
            <v>0</v>
          </cell>
          <cell r="U22">
            <v>4000</v>
          </cell>
          <cell r="W22">
            <v>2000</v>
          </cell>
        </row>
        <row r="23"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31500</v>
          </cell>
          <cell r="J23">
            <v>28</v>
          </cell>
          <cell r="L23">
            <v>31500</v>
          </cell>
          <cell r="M23">
            <v>0</v>
          </cell>
          <cell r="N23">
            <v>1900</v>
          </cell>
          <cell r="O23">
            <v>33400</v>
          </cell>
          <cell r="Q23">
            <v>0</v>
          </cell>
          <cell r="R23">
            <v>33400</v>
          </cell>
          <cell r="S23">
            <v>0</v>
          </cell>
          <cell r="U23">
            <v>4000</v>
          </cell>
          <cell r="V23">
            <v>5000</v>
          </cell>
          <cell r="W23">
            <v>2000</v>
          </cell>
        </row>
        <row r="24"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28</v>
          </cell>
          <cell r="L24">
            <v>10000</v>
          </cell>
          <cell r="M24">
            <v>0</v>
          </cell>
          <cell r="N24">
            <v>0</v>
          </cell>
          <cell r="O24">
            <v>10000</v>
          </cell>
          <cell r="R24">
            <v>10000</v>
          </cell>
          <cell r="S24">
            <v>0</v>
          </cell>
          <cell r="U24">
            <v>0</v>
          </cell>
          <cell r="V24">
            <v>0</v>
          </cell>
        </row>
        <row r="25"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30500</v>
          </cell>
          <cell r="J25">
            <v>28</v>
          </cell>
          <cell r="K25">
            <v>8</v>
          </cell>
          <cell r="L25">
            <v>30500</v>
          </cell>
          <cell r="M25">
            <v>656</v>
          </cell>
          <cell r="N25">
            <v>3400</v>
          </cell>
          <cell r="O25">
            <v>34556</v>
          </cell>
          <cell r="Q25">
            <v>0</v>
          </cell>
          <cell r="R25">
            <v>0</v>
          </cell>
          <cell r="S25">
            <v>34556</v>
          </cell>
          <cell r="U25">
            <v>5000</v>
          </cell>
          <cell r="V25">
            <v>6000</v>
          </cell>
        </row>
        <row r="26"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</row>
        <row r="27"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28</v>
          </cell>
          <cell r="L27">
            <v>29800</v>
          </cell>
          <cell r="M27">
            <v>0</v>
          </cell>
          <cell r="N27">
            <v>2800</v>
          </cell>
          <cell r="O27">
            <v>32600</v>
          </cell>
          <cell r="Q27">
            <v>0</v>
          </cell>
          <cell r="R27">
            <v>32600</v>
          </cell>
          <cell r="S27">
            <v>0</v>
          </cell>
          <cell r="U27">
            <v>8000</v>
          </cell>
          <cell r="V27">
            <v>0</v>
          </cell>
          <cell r="W27">
            <v>4000</v>
          </cell>
        </row>
        <row r="28"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50500</v>
          </cell>
          <cell r="J28">
            <v>28</v>
          </cell>
          <cell r="L28">
            <v>50500</v>
          </cell>
          <cell r="M28">
            <v>0</v>
          </cell>
          <cell r="N28">
            <v>0</v>
          </cell>
          <cell r="O28">
            <v>50500</v>
          </cell>
          <cell r="Q28">
            <v>0</v>
          </cell>
          <cell r="R28">
            <v>50500</v>
          </cell>
          <cell r="S28">
            <v>0</v>
          </cell>
          <cell r="U28">
            <v>4500</v>
          </cell>
          <cell r="V28">
            <v>0</v>
          </cell>
        </row>
        <row r="29"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22</v>
          </cell>
          <cell r="K29">
            <v>60</v>
          </cell>
          <cell r="L29">
            <v>19642.857142857145</v>
          </cell>
          <cell r="M29">
            <v>4032</v>
          </cell>
          <cell r="N29">
            <v>2200</v>
          </cell>
          <cell r="O29">
            <v>25874.857142857145</v>
          </cell>
          <cell r="R29">
            <v>25875</v>
          </cell>
          <cell r="S29">
            <v>0</v>
          </cell>
          <cell r="U29">
            <v>6000</v>
          </cell>
          <cell r="V29">
            <v>0</v>
          </cell>
          <cell r="W29">
            <v>3000</v>
          </cell>
        </row>
        <row r="30"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28</v>
          </cell>
          <cell r="K30">
            <v>0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  <cell r="Q30">
            <v>0</v>
          </cell>
          <cell r="R30">
            <v>7000</v>
          </cell>
          <cell r="S30">
            <v>0</v>
          </cell>
          <cell r="U30">
            <v>0</v>
          </cell>
          <cell r="V30">
            <v>0</v>
          </cell>
        </row>
        <row r="31"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23</v>
          </cell>
          <cell r="K31">
            <v>32</v>
          </cell>
          <cell r="L31">
            <v>20946.428571428569</v>
          </cell>
          <cell r="M31">
            <v>2194</v>
          </cell>
          <cell r="N31">
            <v>4150</v>
          </cell>
          <cell r="O31">
            <v>27290.428571428569</v>
          </cell>
          <cell r="R31">
            <v>27290</v>
          </cell>
          <cell r="S31">
            <v>0</v>
          </cell>
          <cell r="U31">
            <v>4000</v>
          </cell>
          <cell r="V31">
            <v>7000</v>
          </cell>
          <cell r="W31">
            <v>3000</v>
          </cell>
        </row>
        <row r="32"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28000</v>
          </cell>
          <cell r="J32">
            <v>27.5</v>
          </cell>
          <cell r="K32">
            <v>0</v>
          </cell>
          <cell r="L32">
            <v>27500</v>
          </cell>
          <cell r="M32">
            <v>0</v>
          </cell>
          <cell r="N32">
            <v>0</v>
          </cell>
          <cell r="O32">
            <v>27500</v>
          </cell>
          <cell r="P32">
            <v>0</v>
          </cell>
          <cell r="Q32">
            <v>0</v>
          </cell>
          <cell r="R32">
            <v>15000</v>
          </cell>
          <cell r="S32">
            <v>12500</v>
          </cell>
          <cell r="V32">
            <v>15000</v>
          </cell>
        </row>
        <row r="33"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27000</v>
          </cell>
          <cell r="J33">
            <v>20</v>
          </cell>
          <cell r="L33">
            <v>19285.714285714286</v>
          </cell>
          <cell r="M33">
            <v>0</v>
          </cell>
          <cell r="N33">
            <v>1500</v>
          </cell>
          <cell r="O33">
            <v>20785.714285714286</v>
          </cell>
          <cell r="P33">
            <v>0</v>
          </cell>
          <cell r="Q33">
            <v>0</v>
          </cell>
          <cell r="R33">
            <v>0</v>
          </cell>
          <cell r="S33">
            <v>20786</v>
          </cell>
        </row>
        <row r="34"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28000</v>
          </cell>
          <cell r="J34">
            <v>16</v>
          </cell>
          <cell r="K34">
            <v>0</v>
          </cell>
          <cell r="L34">
            <v>16000</v>
          </cell>
          <cell r="M34">
            <v>0</v>
          </cell>
          <cell r="N34">
            <v>2100</v>
          </cell>
          <cell r="O34">
            <v>18100</v>
          </cell>
          <cell r="P34">
            <v>0</v>
          </cell>
          <cell r="Q34">
            <v>0</v>
          </cell>
          <cell r="R34">
            <v>0</v>
          </cell>
          <cell r="S34">
            <v>18100</v>
          </cell>
        </row>
        <row r="35"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8</v>
          </cell>
          <cell r="K35">
            <v>0</v>
          </cell>
          <cell r="L35">
            <v>8714.2857142857138</v>
          </cell>
          <cell r="M35">
            <v>0</v>
          </cell>
          <cell r="N35">
            <v>1500</v>
          </cell>
          <cell r="O35">
            <v>10214.285714285714</v>
          </cell>
          <cell r="P35">
            <v>0</v>
          </cell>
          <cell r="Q35">
            <v>0</v>
          </cell>
          <cell r="R35">
            <v>10000</v>
          </cell>
          <cell r="S35">
            <v>214</v>
          </cell>
          <cell r="V35">
            <v>10000</v>
          </cell>
        </row>
        <row r="36"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22500</v>
          </cell>
          <cell r="J36">
            <v>12</v>
          </cell>
          <cell r="K36">
            <v>0</v>
          </cell>
          <cell r="L36">
            <v>9642.8571428571431</v>
          </cell>
          <cell r="M36">
            <v>0</v>
          </cell>
          <cell r="N36">
            <v>2000</v>
          </cell>
          <cell r="O36">
            <v>11642.857142857143</v>
          </cell>
          <cell r="P36">
            <v>0</v>
          </cell>
          <cell r="Q36">
            <v>0</v>
          </cell>
          <cell r="R36">
            <v>0</v>
          </cell>
          <cell r="S36">
            <v>11643</v>
          </cell>
        </row>
        <row r="37"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500</v>
          </cell>
          <cell r="J37">
            <v>25</v>
          </cell>
          <cell r="K37">
            <v>86</v>
          </cell>
          <cell r="L37">
            <v>12500</v>
          </cell>
          <cell r="M37">
            <v>10750</v>
          </cell>
          <cell r="N37">
            <v>600</v>
          </cell>
          <cell r="O37">
            <v>23850</v>
          </cell>
          <cell r="Q37">
            <v>0</v>
          </cell>
          <cell r="R37">
            <v>0</v>
          </cell>
          <cell r="S37">
            <v>23850</v>
          </cell>
        </row>
        <row r="38"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440</v>
          </cell>
          <cell r="J38">
            <v>15</v>
          </cell>
          <cell r="K38">
            <v>43</v>
          </cell>
          <cell r="L38">
            <v>6600</v>
          </cell>
          <cell r="M38">
            <v>4730</v>
          </cell>
          <cell r="N38">
            <v>0</v>
          </cell>
          <cell r="O38">
            <v>11330</v>
          </cell>
          <cell r="P38">
            <v>0</v>
          </cell>
          <cell r="Q38">
            <v>0</v>
          </cell>
          <cell r="R38">
            <v>0</v>
          </cell>
          <cell r="S38">
            <v>11330</v>
          </cell>
        </row>
        <row r="39"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24000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28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  <cell r="P41">
            <v>0</v>
          </cell>
          <cell r="Q41">
            <v>0</v>
          </cell>
          <cell r="R41">
            <v>0</v>
          </cell>
          <cell r="S41">
            <v>6000</v>
          </cell>
        </row>
        <row r="42"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28</v>
          </cell>
          <cell r="K43">
            <v>19</v>
          </cell>
          <cell r="L43">
            <v>21000</v>
          </cell>
          <cell r="M43">
            <v>1073</v>
          </cell>
          <cell r="N43">
            <v>0</v>
          </cell>
          <cell r="O43">
            <v>22073</v>
          </cell>
          <cell r="P43">
            <v>0</v>
          </cell>
          <cell r="Q43">
            <v>0</v>
          </cell>
          <cell r="R43">
            <v>0</v>
          </cell>
          <cell r="S43">
            <v>22073</v>
          </cell>
        </row>
        <row r="44"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19000</v>
          </cell>
          <cell r="J44">
            <v>28</v>
          </cell>
          <cell r="K44">
            <v>0</v>
          </cell>
          <cell r="L44">
            <v>19000</v>
          </cell>
          <cell r="M44">
            <v>0</v>
          </cell>
          <cell r="N44">
            <v>0</v>
          </cell>
          <cell r="O44">
            <v>19000</v>
          </cell>
          <cell r="P44">
            <v>0</v>
          </cell>
          <cell r="Q44">
            <v>0</v>
          </cell>
          <cell r="R44">
            <v>0</v>
          </cell>
          <cell r="S44">
            <v>19000</v>
          </cell>
        </row>
        <row r="45"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420</v>
          </cell>
          <cell r="J45">
            <v>28</v>
          </cell>
          <cell r="K45">
            <v>93</v>
          </cell>
          <cell r="L45">
            <v>11760</v>
          </cell>
          <cell r="M45">
            <v>9765</v>
          </cell>
          <cell r="N45">
            <v>0</v>
          </cell>
          <cell r="O45">
            <v>21525</v>
          </cell>
          <cell r="P45">
            <v>0</v>
          </cell>
          <cell r="Q45">
            <v>0</v>
          </cell>
          <cell r="R45">
            <v>0</v>
          </cell>
          <cell r="S45">
            <v>21525</v>
          </cell>
        </row>
        <row r="46"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380</v>
          </cell>
          <cell r="J47">
            <v>28</v>
          </cell>
          <cell r="K47">
            <v>116</v>
          </cell>
          <cell r="L47">
            <v>10640</v>
          </cell>
          <cell r="M47">
            <v>11020</v>
          </cell>
          <cell r="N47">
            <v>0</v>
          </cell>
          <cell r="O47">
            <v>21660</v>
          </cell>
          <cell r="P47">
            <v>0</v>
          </cell>
          <cell r="Q47">
            <v>0</v>
          </cell>
          <cell r="R47">
            <v>0</v>
          </cell>
          <cell r="S47">
            <v>21660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18000</v>
          </cell>
          <cell r="J48">
            <v>28</v>
          </cell>
          <cell r="K48">
            <v>0</v>
          </cell>
          <cell r="L48">
            <v>18000</v>
          </cell>
          <cell r="M48">
            <v>0</v>
          </cell>
          <cell r="N48">
            <v>0</v>
          </cell>
          <cell r="O48">
            <v>18000</v>
          </cell>
          <cell r="P48">
            <v>0</v>
          </cell>
          <cell r="Q48">
            <v>0</v>
          </cell>
          <cell r="R48">
            <v>10000</v>
          </cell>
          <cell r="S48">
            <v>8000</v>
          </cell>
          <cell r="V48">
            <v>10000</v>
          </cell>
        </row>
        <row r="49"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28</v>
          </cell>
          <cell r="K49">
            <v>15</v>
          </cell>
          <cell r="L49">
            <v>21000</v>
          </cell>
          <cell r="M49">
            <v>847</v>
          </cell>
          <cell r="N49">
            <v>0</v>
          </cell>
          <cell r="O49">
            <v>21847</v>
          </cell>
          <cell r="P49">
            <v>0</v>
          </cell>
          <cell r="Q49">
            <v>0</v>
          </cell>
          <cell r="R49">
            <v>0</v>
          </cell>
          <cell r="S49">
            <v>21847</v>
          </cell>
        </row>
        <row r="50"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26000</v>
          </cell>
          <cell r="J50">
            <v>22</v>
          </cell>
          <cell r="L50">
            <v>20428.571428571428</v>
          </cell>
          <cell r="M50">
            <v>0</v>
          </cell>
          <cell r="N50">
            <v>1500</v>
          </cell>
          <cell r="O50">
            <v>21928.571428571428</v>
          </cell>
          <cell r="Q50">
            <v>0</v>
          </cell>
          <cell r="R50">
            <v>0</v>
          </cell>
          <cell r="S50">
            <v>21929</v>
          </cell>
        </row>
        <row r="51"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23000</v>
          </cell>
          <cell r="J52">
            <v>18.5</v>
          </cell>
          <cell r="K52">
            <v>2</v>
          </cell>
          <cell r="L52">
            <v>15196.428571428572</v>
          </cell>
          <cell r="M52">
            <v>124</v>
          </cell>
          <cell r="N52">
            <v>0</v>
          </cell>
          <cell r="O52">
            <v>15320.428571428572</v>
          </cell>
          <cell r="P52">
            <v>0</v>
          </cell>
          <cell r="Q52">
            <v>0</v>
          </cell>
          <cell r="R52">
            <v>0</v>
          </cell>
          <cell r="S52">
            <v>15320</v>
          </cell>
        </row>
        <row r="53"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640</v>
          </cell>
          <cell r="J53">
            <v>24</v>
          </cell>
          <cell r="K53">
            <v>0</v>
          </cell>
          <cell r="L53">
            <v>15360</v>
          </cell>
          <cell r="M53">
            <v>0</v>
          </cell>
          <cell r="N53">
            <v>0</v>
          </cell>
          <cell r="O53">
            <v>15360</v>
          </cell>
          <cell r="Q53">
            <v>0</v>
          </cell>
          <cell r="R53">
            <v>0</v>
          </cell>
          <cell r="S53">
            <v>15360</v>
          </cell>
        </row>
        <row r="54"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25250</v>
          </cell>
          <cell r="J56">
            <v>28</v>
          </cell>
          <cell r="K56">
            <v>5</v>
          </cell>
          <cell r="L56">
            <v>25250</v>
          </cell>
          <cell r="M56">
            <v>339</v>
          </cell>
          <cell r="N56">
            <v>0</v>
          </cell>
          <cell r="O56">
            <v>25589</v>
          </cell>
          <cell r="P56">
            <v>0</v>
          </cell>
          <cell r="Q56">
            <v>0</v>
          </cell>
          <cell r="R56">
            <v>0</v>
          </cell>
          <cell r="S56">
            <v>25589</v>
          </cell>
        </row>
        <row r="57"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415</v>
          </cell>
          <cell r="J57">
            <v>28</v>
          </cell>
          <cell r="K57">
            <v>95</v>
          </cell>
          <cell r="L57">
            <v>11620</v>
          </cell>
          <cell r="M57">
            <v>9856.25</v>
          </cell>
          <cell r="N57">
            <v>0</v>
          </cell>
          <cell r="O57">
            <v>21476.25</v>
          </cell>
          <cell r="P57">
            <v>0</v>
          </cell>
          <cell r="Q57">
            <v>0</v>
          </cell>
          <cell r="R57">
            <v>0</v>
          </cell>
          <cell r="S57">
            <v>21476</v>
          </cell>
        </row>
        <row r="58"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25000</v>
          </cell>
          <cell r="J59">
            <v>28</v>
          </cell>
          <cell r="K59">
            <v>8</v>
          </cell>
          <cell r="L59">
            <v>25000</v>
          </cell>
          <cell r="M59">
            <v>538</v>
          </cell>
          <cell r="N59">
            <v>0</v>
          </cell>
          <cell r="O59">
            <v>25538</v>
          </cell>
          <cell r="P59">
            <v>0</v>
          </cell>
          <cell r="Q59">
            <v>0</v>
          </cell>
          <cell r="R59">
            <v>0</v>
          </cell>
          <cell r="S59">
            <v>25538</v>
          </cell>
        </row>
        <row r="60"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26000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28</v>
          </cell>
          <cell r="K61">
            <v>27</v>
          </cell>
          <cell r="L61">
            <v>25000</v>
          </cell>
          <cell r="M61">
            <v>1815</v>
          </cell>
          <cell r="N61">
            <v>0</v>
          </cell>
          <cell r="O61">
            <v>26815</v>
          </cell>
          <cell r="P61">
            <v>0</v>
          </cell>
          <cell r="Q61">
            <v>0</v>
          </cell>
          <cell r="R61">
            <v>0</v>
          </cell>
          <cell r="S61">
            <v>26815</v>
          </cell>
        </row>
        <row r="62"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25000</v>
          </cell>
          <cell r="J63">
            <v>28</v>
          </cell>
          <cell r="K63">
            <v>8</v>
          </cell>
          <cell r="L63">
            <v>25000</v>
          </cell>
          <cell r="M63">
            <v>538</v>
          </cell>
          <cell r="N63">
            <v>0</v>
          </cell>
          <cell r="O63">
            <v>25538</v>
          </cell>
          <cell r="P63">
            <v>0</v>
          </cell>
          <cell r="Q63">
            <v>0</v>
          </cell>
          <cell r="R63">
            <v>0</v>
          </cell>
          <cell r="S63">
            <v>25538</v>
          </cell>
        </row>
        <row r="64"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395</v>
          </cell>
          <cell r="J64">
            <v>20</v>
          </cell>
          <cell r="K64">
            <v>80</v>
          </cell>
          <cell r="L64">
            <v>7900</v>
          </cell>
          <cell r="M64">
            <v>7900</v>
          </cell>
          <cell r="N64">
            <v>0</v>
          </cell>
          <cell r="O64">
            <v>15800</v>
          </cell>
          <cell r="P64">
            <v>0</v>
          </cell>
          <cell r="Q64">
            <v>0</v>
          </cell>
          <cell r="R64">
            <v>5500</v>
          </cell>
          <cell r="S64">
            <v>10300</v>
          </cell>
          <cell r="V64">
            <v>5500</v>
          </cell>
        </row>
        <row r="65"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RAHUL KUMAR</v>
          </cell>
          <cell r="H68" t="str">
            <v>R</v>
          </cell>
          <cell r="I68">
            <v>335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25500</v>
          </cell>
          <cell r="J71">
            <v>24</v>
          </cell>
          <cell r="K71">
            <v>27</v>
          </cell>
          <cell r="L71">
            <v>21857.142857142855</v>
          </cell>
          <cell r="M71">
            <v>1851</v>
          </cell>
          <cell r="N71">
            <v>0</v>
          </cell>
          <cell r="O71">
            <v>23708.142857142855</v>
          </cell>
          <cell r="P71">
            <v>0</v>
          </cell>
          <cell r="Q71">
            <v>0</v>
          </cell>
          <cell r="R71">
            <v>15000</v>
          </cell>
          <cell r="S71">
            <v>8708</v>
          </cell>
          <cell r="V71">
            <v>15000</v>
          </cell>
        </row>
        <row r="72"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350</v>
          </cell>
          <cell r="J73">
            <v>28</v>
          </cell>
          <cell r="K73">
            <v>92</v>
          </cell>
          <cell r="L73">
            <v>9800</v>
          </cell>
          <cell r="M73">
            <v>8050</v>
          </cell>
          <cell r="N73">
            <v>0</v>
          </cell>
          <cell r="O73">
            <v>17850</v>
          </cell>
          <cell r="P73">
            <v>0</v>
          </cell>
          <cell r="Q73">
            <v>0</v>
          </cell>
          <cell r="R73">
            <v>0</v>
          </cell>
          <cell r="S73">
            <v>17850</v>
          </cell>
        </row>
        <row r="74"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460</v>
          </cell>
          <cell r="J74">
            <v>28</v>
          </cell>
          <cell r="K74">
            <v>105</v>
          </cell>
          <cell r="L74">
            <v>12880</v>
          </cell>
          <cell r="M74">
            <v>12075</v>
          </cell>
          <cell r="N74">
            <v>0</v>
          </cell>
          <cell r="O74">
            <v>24955</v>
          </cell>
          <cell r="P74">
            <v>0</v>
          </cell>
          <cell r="Q74">
            <v>0</v>
          </cell>
          <cell r="R74">
            <v>0</v>
          </cell>
          <cell r="S74">
            <v>24955</v>
          </cell>
        </row>
        <row r="75"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465</v>
          </cell>
          <cell r="J75">
            <v>23</v>
          </cell>
          <cell r="K75">
            <v>114</v>
          </cell>
          <cell r="L75">
            <v>10695</v>
          </cell>
          <cell r="M75">
            <v>13252.5</v>
          </cell>
          <cell r="N75">
            <v>0</v>
          </cell>
          <cell r="O75">
            <v>23947.5</v>
          </cell>
          <cell r="P75">
            <v>0</v>
          </cell>
          <cell r="Q75">
            <v>0</v>
          </cell>
          <cell r="R75">
            <v>0</v>
          </cell>
          <cell r="S75">
            <v>23948</v>
          </cell>
        </row>
        <row r="76"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25000</v>
          </cell>
          <cell r="J76">
            <v>28</v>
          </cell>
          <cell r="K76">
            <v>0</v>
          </cell>
          <cell r="L76">
            <v>25000</v>
          </cell>
          <cell r="M76">
            <v>0</v>
          </cell>
          <cell r="N76">
            <v>0</v>
          </cell>
          <cell r="O76">
            <v>25000</v>
          </cell>
          <cell r="P76">
            <v>0</v>
          </cell>
          <cell r="Q76">
            <v>0</v>
          </cell>
          <cell r="R76">
            <v>5000</v>
          </cell>
          <cell r="S76">
            <v>20000</v>
          </cell>
          <cell r="V76">
            <v>5000</v>
          </cell>
        </row>
        <row r="77"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24250</v>
          </cell>
          <cell r="J77">
            <v>7</v>
          </cell>
          <cell r="K77">
            <v>0</v>
          </cell>
          <cell r="L77">
            <v>6062.5</v>
          </cell>
          <cell r="M77">
            <v>0</v>
          </cell>
          <cell r="N77">
            <v>1500</v>
          </cell>
          <cell r="O77">
            <v>7562.5</v>
          </cell>
          <cell r="P77">
            <v>0</v>
          </cell>
          <cell r="Q77">
            <v>0</v>
          </cell>
          <cell r="R77">
            <v>0</v>
          </cell>
          <cell r="S77">
            <v>7563</v>
          </cell>
        </row>
        <row r="78"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25000</v>
          </cell>
          <cell r="J78">
            <v>20</v>
          </cell>
          <cell r="K78">
            <v>18</v>
          </cell>
          <cell r="L78">
            <v>17857.142857142859</v>
          </cell>
          <cell r="M78">
            <v>1210</v>
          </cell>
          <cell r="N78">
            <v>0</v>
          </cell>
          <cell r="O78">
            <v>19067.142857142859</v>
          </cell>
          <cell r="P78">
            <v>0</v>
          </cell>
          <cell r="Q78">
            <v>0</v>
          </cell>
          <cell r="R78">
            <v>0</v>
          </cell>
          <cell r="S78">
            <v>19067</v>
          </cell>
        </row>
        <row r="79"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410</v>
          </cell>
          <cell r="J79">
            <v>28</v>
          </cell>
          <cell r="K79">
            <v>92</v>
          </cell>
          <cell r="L79">
            <v>11480</v>
          </cell>
          <cell r="M79">
            <v>9430</v>
          </cell>
          <cell r="N79">
            <v>0</v>
          </cell>
          <cell r="O79">
            <v>20910</v>
          </cell>
          <cell r="P79">
            <v>0</v>
          </cell>
          <cell r="Q79">
            <v>0</v>
          </cell>
          <cell r="R79">
            <v>0</v>
          </cell>
          <cell r="S79">
            <v>20910</v>
          </cell>
        </row>
        <row r="80"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22000</v>
          </cell>
          <cell r="J80">
            <v>28</v>
          </cell>
          <cell r="K80">
            <v>0</v>
          </cell>
          <cell r="L80">
            <v>22000</v>
          </cell>
          <cell r="M80">
            <v>0</v>
          </cell>
          <cell r="N80">
            <v>0</v>
          </cell>
          <cell r="O80">
            <v>22000</v>
          </cell>
          <cell r="P80">
            <v>0</v>
          </cell>
          <cell r="Q80">
            <v>0</v>
          </cell>
          <cell r="R80">
            <v>10000</v>
          </cell>
          <cell r="S80">
            <v>12000</v>
          </cell>
          <cell r="V80">
            <v>10000</v>
          </cell>
        </row>
        <row r="81"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24000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10000</v>
          </cell>
          <cell r="J82">
            <v>28</v>
          </cell>
          <cell r="K82">
            <v>0</v>
          </cell>
          <cell r="L82">
            <v>10000</v>
          </cell>
          <cell r="M82">
            <v>0</v>
          </cell>
          <cell r="N82">
            <v>0</v>
          </cell>
          <cell r="O82">
            <v>10000</v>
          </cell>
          <cell r="P82">
            <v>0</v>
          </cell>
          <cell r="Q82">
            <v>0</v>
          </cell>
          <cell r="R82">
            <v>0</v>
          </cell>
          <cell r="S82">
            <v>10000</v>
          </cell>
        </row>
        <row r="83"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16500</v>
          </cell>
          <cell r="J83">
            <v>29</v>
          </cell>
          <cell r="K83">
            <v>0</v>
          </cell>
          <cell r="L83">
            <v>17089.285714285717</v>
          </cell>
          <cell r="M83">
            <v>0</v>
          </cell>
          <cell r="N83">
            <v>0</v>
          </cell>
          <cell r="O83">
            <v>17089.285714285717</v>
          </cell>
          <cell r="P83">
            <v>0</v>
          </cell>
          <cell r="Q83">
            <v>0</v>
          </cell>
          <cell r="R83">
            <v>0</v>
          </cell>
          <cell r="S83">
            <v>17089</v>
          </cell>
        </row>
        <row r="84">
          <cell r="C84" t="str">
            <v>MALLI SUMAN</v>
          </cell>
          <cell r="E84" t="str">
            <v>TORANAGALLU</v>
          </cell>
          <cell r="F84" t="str">
            <v>007001005268</v>
          </cell>
          <cell r="G84" t="str">
            <v>ICIC00VSCBL</v>
          </cell>
          <cell r="H84" t="str">
            <v>H</v>
          </cell>
          <cell r="I84">
            <v>17000</v>
          </cell>
          <cell r="J84">
            <v>11</v>
          </cell>
          <cell r="K84">
            <v>0</v>
          </cell>
          <cell r="L84">
            <v>6678.5714285714284</v>
          </cell>
          <cell r="M84">
            <v>0</v>
          </cell>
          <cell r="N84">
            <v>0</v>
          </cell>
          <cell r="O84">
            <v>6678.5714285714284</v>
          </cell>
          <cell r="P84">
            <v>0</v>
          </cell>
          <cell r="Q84">
            <v>0</v>
          </cell>
          <cell r="R84">
            <v>5000</v>
          </cell>
          <cell r="S84">
            <v>1679</v>
          </cell>
          <cell r="V84">
            <v>5000</v>
          </cell>
        </row>
        <row r="85"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29500</v>
          </cell>
          <cell r="J85">
            <v>6</v>
          </cell>
          <cell r="K85">
            <v>0</v>
          </cell>
          <cell r="L85">
            <v>6321.4285714285725</v>
          </cell>
          <cell r="M85">
            <v>0</v>
          </cell>
          <cell r="N85">
            <v>1000</v>
          </cell>
          <cell r="O85">
            <v>7321.4285714285725</v>
          </cell>
          <cell r="P85">
            <v>0</v>
          </cell>
          <cell r="Q85">
            <v>0</v>
          </cell>
          <cell r="R85">
            <v>0</v>
          </cell>
          <cell r="S85">
            <v>7321</v>
          </cell>
        </row>
        <row r="86"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28000</v>
          </cell>
          <cell r="J86">
            <v>28</v>
          </cell>
          <cell r="K86">
            <v>0</v>
          </cell>
          <cell r="L86">
            <v>28000</v>
          </cell>
          <cell r="M86">
            <v>0</v>
          </cell>
          <cell r="N86">
            <v>0</v>
          </cell>
          <cell r="O86">
            <v>28000</v>
          </cell>
          <cell r="P86">
            <v>0</v>
          </cell>
          <cell r="Q86">
            <v>0</v>
          </cell>
          <cell r="R86">
            <v>0</v>
          </cell>
          <cell r="S86">
            <v>28000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25</v>
          </cell>
          <cell r="K88">
            <v>122</v>
          </cell>
          <cell r="L88">
            <v>10250</v>
          </cell>
          <cell r="M88">
            <v>12505</v>
          </cell>
          <cell r="N88">
            <v>0</v>
          </cell>
          <cell r="O88">
            <v>22755</v>
          </cell>
          <cell r="P88">
            <v>0</v>
          </cell>
          <cell r="Q88">
            <v>0</v>
          </cell>
          <cell r="R88">
            <v>0</v>
          </cell>
          <cell r="S88">
            <v>22755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J90">
            <v>15</v>
          </cell>
          <cell r="K90">
            <v>52</v>
          </cell>
          <cell r="L90">
            <v>4500</v>
          </cell>
          <cell r="M90">
            <v>3900</v>
          </cell>
          <cell r="N90">
            <v>0</v>
          </cell>
          <cell r="O90">
            <v>8400</v>
          </cell>
          <cell r="P90">
            <v>0</v>
          </cell>
          <cell r="Q90">
            <v>0</v>
          </cell>
          <cell r="R90">
            <v>0</v>
          </cell>
          <cell r="S90">
            <v>8400</v>
          </cell>
        </row>
        <row r="91"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17</v>
          </cell>
          <cell r="K91">
            <v>0</v>
          </cell>
          <cell r="L91">
            <v>17000</v>
          </cell>
          <cell r="M91">
            <v>0</v>
          </cell>
          <cell r="N91">
            <v>0</v>
          </cell>
          <cell r="O91">
            <v>17000</v>
          </cell>
          <cell r="P91">
            <v>0</v>
          </cell>
          <cell r="Q91">
            <v>0</v>
          </cell>
          <cell r="R91">
            <v>4699</v>
          </cell>
          <cell r="S91">
            <v>12301</v>
          </cell>
          <cell r="V91">
            <v>4699</v>
          </cell>
        </row>
        <row r="92"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45000</v>
          </cell>
          <cell r="J92">
            <v>26</v>
          </cell>
          <cell r="K92">
            <v>7</v>
          </cell>
          <cell r="L92">
            <v>41785.714285714283</v>
          </cell>
          <cell r="M92">
            <v>847</v>
          </cell>
          <cell r="N92">
            <v>0</v>
          </cell>
          <cell r="O92">
            <v>42632.714285714283</v>
          </cell>
          <cell r="P92">
            <v>0</v>
          </cell>
          <cell r="Q92">
            <v>0</v>
          </cell>
          <cell r="R92">
            <v>0</v>
          </cell>
          <cell r="S92">
            <v>42633</v>
          </cell>
        </row>
        <row r="93"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28</v>
          </cell>
          <cell r="K93">
            <v>0</v>
          </cell>
          <cell r="L93">
            <v>17000</v>
          </cell>
          <cell r="M93">
            <v>0</v>
          </cell>
          <cell r="N93">
            <v>0</v>
          </cell>
          <cell r="O93">
            <v>17000</v>
          </cell>
          <cell r="P93">
            <v>0</v>
          </cell>
          <cell r="Q93">
            <v>0</v>
          </cell>
          <cell r="R93">
            <v>10000</v>
          </cell>
          <cell r="S93">
            <v>7000</v>
          </cell>
          <cell r="V93">
            <v>10000</v>
          </cell>
        </row>
        <row r="94"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28</v>
          </cell>
          <cell r="K94">
            <v>0</v>
          </cell>
          <cell r="L94">
            <v>17000</v>
          </cell>
          <cell r="M94">
            <v>0</v>
          </cell>
          <cell r="N94">
            <v>0</v>
          </cell>
          <cell r="O94">
            <v>17000</v>
          </cell>
          <cell r="P94">
            <v>0</v>
          </cell>
          <cell r="Q94">
            <v>0</v>
          </cell>
          <cell r="R94">
            <v>0</v>
          </cell>
          <cell r="S94">
            <v>17000</v>
          </cell>
        </row>
        <row r="95"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28</v>
          </cell>
          <cell r="K96">
            <v>22</v>
          </cell>
          <cell r="L96">
            <v>23000</v>
          </cell>
          <cell r="M96">
            <v>1360</v>
          </cell>
          <cell r="N96">
            <v>0</v>
          </cell>
          <cell r="O96">
            <v>24360</v>
          </cell>
          <cell r="P96">
            <v>0</v>
          </cell>
          <cell r="Q96">
            <v>0</v>
          </cell>
          <cell r="R96">
            <v>15000</v>
          </cell>
          <cell r="S96">
            <v>9360</v>
          </cell>
          <cell r="V96">
            <v>15000</v>
          </cell>
        </row>
        <row r="97"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28</v>
          </cell>
          <cell r="K97">
            <v>0</v>
          </cell>
          <cell r="L97">
            <v>17000</v>
          </cell>
          <cell r="M97">
            <v>0</v>
          </cell>
          <cell r="N97">
            <v>0</v>
          </cell>
          <cell r="O97">
            <v>17000</v>
          </cell>
          <cell r="P97">
            <v>0</v>
          </cell>
          <cell r="Q97">
            <v>0</v>
          </cell>
          <cell r="R97">
            <v>0</v>
          </cell>
          <cell r="S97">
            <v>17000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RAKESH</v>
          </cell>
          <cell r="H100" t="str">
            <v>W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28</v>
          </cell>
          <cell r="K102">
            <v>20</v>
          </cell>
          <cell r="L102">
            <v>20000</v>
          </cell>
          <cell r="M102">
            <v>1075</v>
          </cell>
          <cell r="N102">
            <v>0</v>
          </cell>
          <cell r="O102">
            <v>21075</v>
          </cell>
          <cell r="P102">
            <v>0</v>
          </cell>
          <cell r="Q102">
            <v>0</v>
          </cell>
          <cell r="R102">
            <v>0</v>
          </cell>
          <cell r="S102">
            <v>21075</v>
          </cell>
        </row>
        <row r="103"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MONU KUMAR</v>
          </cell>
          <cell r="F104" t="str">
            <v>7808610062</v>
          </cell>
          <cell r="G104" t="str">
            <v>AIRP0000001</v>
          </cell>
          <cell r="H104" t="str">
            <v>K</v>
          </cell>
          <cell r="I104">
            <v>900</v>
          </cell>
          <cell r="J104">
            <v>28</v>
          </cell>
          <cell r="K104">
            <v>29</v>
          </cell>
          <cell r="L104">
            <v>25200</v>
          </cell>
          <cell r="M104">
            <v>2175</v>
          </cell>
          <cell r="N104">
            <v>0</v>
          </cell>
          <cell r="O104">
            <v>27375</v>
          </cell>
          <cell r="P104">
            <v>0</v>
          </cell>
          <cell r="Q104">
            <v>0</v>
          </cell>
          <cell r="R104">
            <v>0</v>
          </cell>
          <cell r="S104">
            <v>27375</v>
          </cell>
        </row>
        <row r="105">
          <cell r="C105" t="str">
            <v>JAGDISH MAHATO</v>
          </cell>
          <cell r="F105" t="str">
            <v>1002281030158009</v>
          </cell>
          <cell r="G105" t="str">
            <v>CBIN0R10001</v>
          </cell>
          <cell r="H105" t="str">
            <v>K</v>
          </cell>
          <cell r="I105">
            <v>900</v>
          </cell>
          <cell r="J105">
            <v>25</v>
          </cell>
          <cell r="K105">
            <v>19</v>
          </cell>
          <cell r="L105">
            <v>22500</v>
          </cell>
          <cell r="M105">
            <v>1425</v>
          </cell>
          <cell r="N105">
            <v>0</v>
          </cell>
          <cell r="O105">
            <v>23925</v>
          </cell>
          <cell r="P105">
            <v>0</v>
          </cell>
          <cell r="Q105">
            <v>0</v>
          </cell>
          <cell r="R105">
            <v>0</v>
          </cell>
          <cell r="S105">
            <v>23925</v>
          </cell>
        </row>
        <row r="106">
          <cell r="C106" t="str">
            <v>MUNNU KUMAR SINGH</v>
          </cell>
          <cell r="F106" t="str">
            <v>002810284843</v>
          </cell>
          <cell r="G106" t="str">
            <v>IPOS0000001</v>
          </cell>
          <cell r="H106" t="str">
            <v>R</v>
          </cell>
          <cell r="I106">
            <v>1100</v>
          </cell>
          <cell r="J106">
            <v>28</v>
          </cell>
          <cell r="K106">
            <v>16</v>
          </cell>
          <cell r="L106">
            <v>30800</v>
          </cell>
          <cell r="M106">
            <v>1466.6666666666667</v>
          </cell>
          <cell r="N106">
            <v>2800</v>
          </cell>
          <cell r="O106">
            <v>35066.666666666672</v>
          </cell>
          <cell r="P106">
            <v>0</v>
          </cell>
          <cell r="Q106">
            <v>0</v>
          </cell>
          <cell r="R106">
            <v>0</v>
          </cell>
          <cell r="S106">
            <v>35067</v>
          </cell>
        </row>
        <row r="107"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17</v>
          </cell>
          <cell r="K107">
            <v>3</v>
          </cell>
          <cell r="L107">
            <v>15300</v>
          </cell>
          <cell r="M107">
            <v>225</v>
          </cell>
          <cell r="N107">
            <v>0</v>
          </cell>
          <cell r="O107">
            <v>15525</v>
          </cell>
          <cell r="P107">
            <v>0</v>
          </cell>
          <cell r="Q107">
            <v>0</v>
          </cell>
          <cell r="R107">
            <v>0</v>
          </cell>
          <cell r="S107">
            <v>15525</v>
          </cell>
        </row>
        <row r="108"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1100</v>
          </cell>
          <cell r="J108">
            <v>25</v>
          </cell>
          <cell r="K108">
            <v>19</v>
          </cell>
          <cell r="L108">
            <v>27500</v>
          </cell>
          <cell r="M108">
            <v>1741.6666666666667</v>
          </cell>
          <cell r="N108">
            <v>2500</v>
          </cell>
          <cell r="O108">
            <v>31741.666666666668</v>
          </cell>
          <cell r="P108">
            <v>0</v>
          </cell>
          <cell r="Q108">
            <v>0</v>
          </cell>
          <cell r="R108">
            <v>0</v>
          </cell>
          <cell r="S108">
            <v>31742</v>
          </cell>
        </row>
        <row r="109"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J110">
            <v>11</v>
          </cell>
          <cell r="K110">
            <v>0</v>
          </cell>
          <cell r="L110">
            <v>8642.8571428571431</v>
          </cell>
          <cell r="M110">
            <v>0</v>
          </cell>
          <cell r="N110">
            <v>0</v>
          </cell>
          <cell r="O110">
            <v>8642.8571428571431</v>
          </cell>
          <cell r="P110">
            <v>0</v>
          </cell>
          <cell r="Q110">
            <v>0</v>
          </cell>
          <cell r="R110">
            <v>0</v>
          </cell>
          <cell r="S110">
            <v>8643</v>
          </cell>
        </row>
        <row r="111"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1100</v>
          </cell>
          <cell r="J113">
            <v>28</v>
          </cell>
          <cell r="K113">
            <v>0</v>
          </cell>
          <cell r="L113">
            <v>30800</v>
          </cell>
          <cell r="M113">
            <v>0</v>
          </cell>
          <cell r="O113">
            <v>30800</v>
          </cell>
          <cell r="P113">
            <v>0</v>
          </cell>
          <cell r="Q113">
            <v>0</v>
          </cell>
          <cell r="R113">
            <v>17000</v>
          </cell>
          <cell r="S113">
            <v>13800</v>
          </cell>
          <cell r="V113">
            <v>17000</v>
          </cell>
        </row>
        <row r="114"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28</v>
          </cell>
          <cell r="K119">
            <v>180</v>
          </cell>
          <cell r="L119">
            <v>9800</v>
          </cell>
          <cell r="M119">
            <v>15750</v>
          </cell>
          <cell r="N119">
            <v>0</v>
          </cell>
          <cell r="O119">
            <v>25550</v>
          </cell>
          <cell r="P119">
            <v>0</v>
          </cell>
          <cell r="Q119">
            <v>0</v>
          </cell>
          <cell r="R119">
            <v>0</v>
          </cell>
          <cell r="S119">
            <v>25550</v>
          </cell>
        </row>
        <row r="120"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I120">
            <v>800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C125" t="str">
            <v>ROKALLA SYAMSUNDAR</v>
          </cell>
          <cell r="F125" t="str">
            <v>41415841085</v>
          </cell>
          <cell r="G125" t="str">
            <v>SBIN0015709</v>
          </cell>
          <cell r="H125" t="str">
            <v>H</v>
          </cell>
          <cell r="I125">
            <v>17000</v>
          </cell>
          <cell r="J125">
            <v>24</v>
          </cell>
          <cell r="K125">
            <v>0</v>
          </cell>
          <cell r="L125">
            <v>14571.428571428571</v>
          </cell>
          <cell r="M125">
            <v>0</v>
          </cell>
          <cell r="N125">
            <v>0</v>
          </cell>
          <cell r="O125">
            <v>14571.428571428571</v>
          </cell>
          <cell r="P125">
            <v>0</v>
          </cell>
          <cell r="Q125">
            <v>0</v>
          </cell>
          <cell r="R125">
            <v>0</v>
          </cell>
          <cell r="S125">
            <v>14571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28</v>
          </cell>
          <cell r="K126">
            <v>0</v>
          </cell>
          <cell r="L126">
            <v>17000</v>
          </cell>
          <cell r="M126">
            <v>0</v>
          </cell>
          <cell r="N126">
            <v>0</v>
          </cell>
          <cell r="O126">
            <v>17000</v>
          </cell>
          <cell r="P126">
            <v>0</v>
          </cell>
          <cell r="Q126">
            <v>0</v>
          </cell>
          <cell r="R126">
            <v>0</v>
          </cell>
          <cell r="S126">
            <v>17000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28</v>
          </cell>
          <cell r="K127">
            <v>15</v>
          </cell>
          <cell r="L127">
            <v>26000</v>
          </cell>
          <cell r="M127">
            <v>1048</v>
          </cell>
          <cell r="N127">
            <v>0</v>
          </cell>
          <cell r="O127">
            <v>27048</v>
          </cell>
          <cell r="P127">
            <v>0</v>
          </cell>
          <cell r="Q127">
            <v>0</v>
          </cell>
          <cell r="R127">
            <v>0</v>
          </cell>
          <cell r="S127">
            <v>27048</v>
          </cell>
        </row>
        <row r="128"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27</v>
          </cell>
          <cell r="K128">
            <v>0</v>
          </cell>
          <cell r="L128">
            <v>24107.142857142859</v>
          </cell>
          <cell r="M128">
            <v>0</v>
          </cell>
          <cell r="N128">
            <v>0</v>
          </cell>
          <cell r="O128">
            <v>24107.142857142859</v>
          </cell>
          <cell r="P128">
            <v>0</v>
          </cell>
          <cell r="Q128">
            <v>0</v>
          </cell>
          <cell r="R128">
            <v>0</v>
          </cell>
          <cell r="S128">
            <v>24107</v>
          </cell>
        </row>
        <row r="129">
          <cell r="C129" t="str">
            <v>GUDIYA BALARAM SAHU</v>
          </cell>
          <cell r="I129">
            <v>18000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J130">
            <v>26</v>
          </cell>
          <cell r="K130">
            <v>3</v>
          </cell>
          <cell r="L130">
            <v>28600</v>
          </cell>
          <cell r="M130">
            <v>275</v>
          </cell>
          <cell r="N130">
            <v>0</v>
          </cell>
          <cell r="O130">
            <v>28875</v>
          </cell>
          <cell r="P130">
            <v>0</v>
          </cell>
          <cell r="Q130">
            <v>0</v>
          </cell>
          <cell r="R130">
            <v>0</v>
          </cell>
          <cell r="S130">
            <v>28875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26.5</v>
          </cell>
          <cell r="K131">
            <v>12</v>
          </cell>
          <cell r="L131">
            <v>20821.428571428569</v>
          </cell>
          <cell r="M131">
            <v>710</v>
          </cell>
          <cell r="N131">
            <v>0</v>
          </cell>
          <cell r="O131">
            <v>21531.428571428569</v>
          </cell>
          <cell r="P131">
            <v>0</v>
          </cell>
          <cell r="Q131">
            <v>0</v>
          </cell>
          <cell r="R131">
            <v>0</v>
          </cell>
          <cell r="S131">
            <v>21531</v>
          </cell>
        </row>
        <row r="132">
          <cell r="C132" t="str">
            <v>MOHD MUZAMIL</v>
          </cell>
          <cell r="F132" t="str">
            <v>39137070225</v>
          </cell>
          <cell r="G132" t="str">
            <v>SBIN0017683</v>
          </cell>
          <cell r="H132" t="str">
            <v>R</v>
          </cell>
          <cell r="I132">
            <v>25000</v>
          </cell>
          <cell r="J132">
            <v>28</v>
          </cell>
          <cell r="K132">
            <v>24</v>
          </cell>
          <cell r="L132">
            <v>25000</v>
          </cell>
          <cell r="M132">
            <v>1613</v>
          </cell>
          <cell r="N132">
            <v>0</v>
          </cell>
          <cell r="O132">
            <v>26613</v>
          </cell>
          <cell r="P132">
            <v>0</v>
          </cell>
          <cell r="Q132">
            <v>0</v>
          </cell>
          <cell r="R132">
            <v>0</v>
          </cell>
          <cell r="S132">
            <v>26613</v>
          </cell>
        </row>
        <row r="133">
          <cell r="C133" t="str">
            <v>DALIBANDHU PRADHAN</v>
          </cell>
          <cell r="I133">
            <v>18000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>G DIWAKAR</v>
          </cell>
          <cell r="I134">
            <v>800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 t="str">
            <v>G DEENABANDHU</v>
          </cell>
          <cell r="I135">
            <v>800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ABHISHEK KUMAR</v>
          </cell>
          <cell r="F136" t="str">
            <v>35523566176</v>
          </cell>
          <cell r="G136" t="str">
            <v>SBIN0008186</v>
          </cell>
          <cell r="H136" t="str">
            <v>H</v>
          </cell>
          <cell r="I136">
            <v>25000</v>
          </cell>
          <cell r="J136">
            <v>28</v>
          </cell>
          <cell r="K136">
            <v>15</v>
          </cell>
          <cell r="L136">
            <v>25000</v>
          </cell>
          <cell r="M136">
            <v>1008</v>
          </cell>
          <cell r="N136">
            <v>0</v>
          </cell>
          <cell r="O136">
            <v>26008</v>
          </cell>
          <cell r="P136">
            <v>0</v>
          </cell>
          <cell r="Q136">
            <v>0</v>
          </cell>
          <cell r="R136">
            <v>0</v>
          </cell>
          <cell r="S136">
            <v>26008</v>
          </cell>
        </row>
        <row r="137">
          <cell r="C137" t="str">
            <v>NIRAJ KUMAR</v>
          </cell>
          <cell r="F137" t="str">
            <v>52930100003890</v>
          </cell>
          <cell r="G137" t="str">
            <v>BARB0BALTHI</v>
          </cell>
          <cell r="H137" t="str">
            <v>K</v>
          </cell>
          <cell r="I137">
            <v>25000</v>
          </cell>
          <cell r="J137">
            <v>28</v>
          </cell>
          <cell r="K137">
            <v>20</v>
          </cell>
          <cell r="L137">
            <v>25000</v>
          </cell>
          <cell r="M137">
            <v>1344</v>
          </cell>
          <cell r="N137">
            <v>0</v>
          </cell>
          <cell r="O137">
            <v>26344</v>
          </cell>
          <cell r="P137">
            <v>0</v>
          </cell>
          <cell r="Q137">
            <v>0</v>
          </cell>
          <cell r="R137">
            <v>0</v>
          </cell>
          <cell r="S137">
            <v>26344</v>
          </cell>
        </row>
        <row r="138">
          <cell r="C138" t="str">
            <v>ANIRUDH RAY</v>
          </cell>
          <cell r="H138" t="str">
            <v>K</v>
          </cell>
          <cell r="I138">
            <v>18000</v>
          </cell>
          <cell r="J138">
            <v>28</v>
          </cell>
          <cell r="K138">
            <v>0</v>
          </cell>
          <cell r="L138">
            <v>18000</v>
          </cell>
          <cell r="M138">
            <v>0</v>
          </cell>
          <cell r="N138">
            <v>0</v>
          </cell>
          <cell r="O138">
            <v>18000</v>
          </cell>
          <cell r="P138">
            <v>0</v>
          </cell>
          <cell r="Q138">
            <v>0</v>
          </cell>
          <cell r="R138">
            <v>0</v>
          </cell>
          <cell r="S138">
            <v>18000</v>
          </cell>
        </row>
        <row r="139">
          <cell r="C139" t="str">
            <v>AJAYA KUMAR PRADHAN</v>
          </cell>
          <cell r="I139">
            <v>800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 t="str">
            <v>ANSARI ROHAN JAMIL AKHTER</v>
          </cell>
          <cell r="I140">
            <v>20000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RAJAN KUMAR GOND</v>
          </cell>
          <cell r="H141" t="str">
            <v>H O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NITESH KUMAR</v>
          </cell>
          <cell r="H142" t="str">
            <v>K</v>
          </cell>
          <cell r="I142">
            <v>20000</v>
          </cell>
          <cell r="J142">
            <v>2</v>
          </cell>
          <cell r="K142">
            <v>0</v>
          </cell>
          <cell r="L142">
            <v>1428.5714285714287</v>
          </cell>
          <cell r="M142">
            <v>0</v>
          </cell>
          <cell r="N142">
            <v>0</v>
          </cell>
          <cell r="O142">
            <v>1428.5714285714287</v>
          </cell>
          <cell r="P142">
            <v>0</v>
          </cell>
          <cell r="Q142">
            <v>0</v>
          </cell>
          <cell r="R142">
            <v>0</v>
          </cell>
          <cell r="S142">
            <v>1429</v>
          </cell>
        </row>
        <row r="143">
          <cell r="C143" t="str">
            <v>JAYRAM PRADHAN</v>
          </cell>
          <cell r="H143" t="str">
            <v>R</v>
          </cell>
          <cell r="I143">
            <v>1000</v>
          </cell>
          <cell r="J143">
            <v>28</v>
          </cell>
          <cell r="K143">
            <v>14</v>
          </cell>
          <cell r="L143">
            <v>28000</v>
          </cell>
          <cell r="M143">
            <v>1166.6666666666665</v>
          </cell>
          <cell r="O143">
            <v>29166.666666666668</v>
          </cell>
          <cell r="P143">
            <v>0</v>
          </cell>
          <cell r="Q143">
            <v>0</v>
          </cell>
          <cell r="R143">
            <v>14000</v>
          </cell>
          <cell r="S143">
            <v>15167</v>
          </cell>
          <cell r="U143">
            <v>4000</v>
          </cell>
          <cell r="V143">
            <v>10000</v>
          </cell>
        </row>
        <row r="144">
          <cell r="C144" t="str">
            <v>BINAY PRADHAN</v>
          </cell>
          <cell r="H144" t="str">
            <v>R</v>
          </cell>
          <cell r="I144">
            <v>1000</v>
          </cell>
          <cell r="J144">
            <v>28</v>
          </cell>
          <cell r="K144">
            <v>2</v>
          </cell>
          <cell r="L144">
            <v>28000</v>
          </cell>
          <cell r="M144">
            <v>166.66666666666666</v>
          </cell>
          <cell r="O144">
            <v>28166.666666666668</v>
          </cell>
          <cell r="P144">
            <v>0</v>
          </cell>
          <cell r="Q144">
            <v>0</v>
          </cell>
          <cell r="R144">
            <v>4000</v>
          </cell>
          <cell r="S144">
            <v>24167</v>
          </cell>
          <cell r="U144">
            <v>4000</v>
          </cell>
        </row>
        <row r="145">
          <cell r="C145" t="str">
            <v>NARASINGH PRADHAN</v>
          </cell>
          <cell r="H145" t="str">
            <v>R</v>
          </cell>
          <cell r="I145">
            <v>1000</v>
          </cell>
          <cell r="J145">
            <v>27</v>
          </cell>
          <cell r="K145">
            <v>0</v>
          </cell>
          <cell r="L145">
            <v>27000</v>
          </cell>
          <cell r="M145">
            <v>0</v>
          </cell>
          <cell r="O145">
            <v>27000</v>
          </cell>
          <cell r="P145">
            <v>0</v>
          </cell>
          <cell r="Q145">
            <v>0</v>
          </cell>
          <cell r="R145">
            <v>14000</v>
          </cell>
          <cell r="S145">
            <v>13000</v>
          </cell>
          <cell r="U145">
            <v>4000</v>
          </cell>
          <cell r="V145">
            <v>10000</v>
          </cell>
        </row>
        <row r="146">
          <cell r="C146" t="str">
            <v>SHIVSAFIR PASWAN</v>
          </cell>
          <cell r="I146">
            <v>400</v>
          </cell>
          <cell r="J146">
            <v>3</v>
          </cell>
          <cell r="L146">
            <v>1200</v>
          </cell>
          <cell r="M146">
            <v>0</v>
          </cell>
          <cell r="N146">
            <v>0</v>
          </cell>
          <cell r="O146">
            <v>1200</v>
          </cell>
          <cell r="P146">
            <v>0</v>
          </cell>
          <cell r="Q146">
            <v>0</v>
          </cell>
          <cell r="R146">
            <v>0</v>
          </cell>
          <cell r="S146">
            <v>1200</v>
          </cell>
          <cell r="U146">
            <v>0</v>
          </cell>
        </row>
      </sheetData>
      <sheetData sheetId="14">
        <row r="5">
          <cell r="C5" t="str">
            <v>P.RAGHUNATH</v>
          </cell>
          <cell r="D5" t="str">
            <v>ICICI</v>
          </cell>
          <cell r="E5" t="str">
            <v>TORANAGALLU</v>
          </cell>
          <cell r="F5" t="str">
            <v>142301508724</v>
          </cell>
          <cell r="G5" t="str">
            <v>ICIC0001423</v>
          </cell>
          <cell r="H5" t="str">
            <v>Director</v>
          </cell>
          <cell r="I5">
            <v>63500</v>
          </cell>
          <cell r="J5">
            <v>31</v>
          </cell>
          <cell r="L5">
            <v>63500</v>
          </cell>
          <cell r="M5">
            <v>0</v>
          </cell>
          <cell r="N5">
            <v>0</v>
          </cell>
          <cell r="O5">
            <v>63500</v>
          </cell>
          <cell r="Q5">
            <v>0</v>
          </cell>
          <cell r="R5">
            <v>0</v>
          </cell>
          <cell r="S5">
            <v>63500</v>
          </cell>
          <cell r="U5">
            <v>0</v>
          </cell>
          <cell r="V5">
            <v>0</v>
          </cell>
        </row>
        <row r="6">
          <cell r="C6" t="str">
            <v>CHANDRA SEKHAR SHARE PUPPALA</v>
          </cell>
          <cell r="D6" t="str">
            <v>ICICI</v>
          </cell>
          <cell r="E6" t="str">
            <v>SECUNDERABAD</v>
          </cell>
          <cell r="F6">
            <v>4801542856</v>
          </cell>
          <cell r="G6" t="str">
            <v>ICIC0000048</v>
          </cell>
          <cell r="H6" t="str">
            <v>Director</v>
          </cell>
          <cell r="I6">
            <v>63500</v>
          </cell>
          <cell r="J6">
            <v>31</v>
          </cell>
          <cell r="L6">
            <v>63500</v>
          </cell>
          <cell r="M6">
            <v>0</v>
          </cell>
          <cell r="N6">
            <v>0</v>
          </cell>
          <cell r="O6">
            <v>63500</v>
          </cell>
          <cell r="Q6">
            <v>0</v>
          </cell>
          <cell r="R6">
            <v>0</v>
          </cell>
          <cell r="S6">
            <v>63500</v>
          </cell>
          <cell r="U6">
            <v>0</v>
          </cell>
          <cell r="V6">
            <v>0</v>
          </cell>
        </row>
        <row r="7">
          <cell r="C7" t="str">
            <v>NAGAPPA PANDI</v>
          </cell>
          <cell r="D7" t="str">
            <v>VIKASH</v>
          </cell>
          <cell r="E7" t="str">
            <v>TORANAGALLU</v>
          </cell>
          <cell r="F7" t="str">
            <v>007001007517</v>
          </cell>
          <cell r="G7" t="str">
            <v>ICIC00VSCBL</v>
          </cell>
          <cell r="H7" t="str">
            <v>SUP</v>
          </cell>
          <cell r="I7">
            <v>36900</v>
          </cell>
          <cell r="J7">
            <v>30</v>
          </cell>
          <cell r="L7">
            <v>35709.677419354834</v>
          </cell>
          <cell r="M7">
            <v>0</v>
          </cell>
          <cell r="N7">
            <v>2000</v>
          </cell>
          <cell r="O7">
            <v>37709.677419354834</v>
          </cell>
          <cell r="Q7">
            <v>0</v>
          </cell>
          <cell r="R7">
            <v>1000</v>
          </cell>
          <cell r="S7">
            <v>36710</v>
          </cell>
          <cell r="U7">
            <v>1000</v>
          </cell>
          <cell r="V7">
            <v>0</v>
          </cell>
        </row>
        <row r="8">
          <cell r="C8" t="str">
            <v xml:space="preserve">S V VARUN </v>
          </cell>
          <cell r="D8" t="str">
            <v>SBI</v>
          </cell>
          <cell r="E8" t="str">
            <v>CHICKBALLAPUR</v>
          </cell>
          <cell r="F8" t="str">
            <v>64038970694</v>
          </cell>
          <cell r="G8" t="str">
            <v>SBIN0040414</v>
          </cell>
          <cell r="H8" t="str">
            <v xml:space="preserve">HOD </v>
          </cell>
          <cell r="I8">
            <v>52500</v>
          </cell>
          <cell r="J8">
            <v>20</v>
          </cell>
          <cell r="L8">
            <v>33870.967741935485</v>
          </cell>
          <cell r="M8">
            <v>0</v>
          </cell>
          <cell r="N8">
            <v>1500</v>
          </cell>
          <cell r="O8">
            <v>35370.967741935485</v>
          </cell>
          <cell r="Q8">
            <v>0</v>
          </cell>
          <cell r="R8">
            <v>0</v>
          </cell>
          <cell r="S8">
            <v>35371</v>
          </cell>
          <cell r="U8">
            <v>0</v>
          </cell>
          <cell r="V8">
            <v>0</v>
          </cell>
        </row>
        <row r="9">
          <cell r="C9" t="str">
            <v>YERRISWAMY KENCHANAGOUDRA</v>
          </cell>
          <cell r="D9" t="str">
            <v>SBI</v>
          </cell>
          <cell r="E9" t="str">
            <v>ADB SANDUR</v>
          </cell>
          <cell r="F9" t="str">
            <v>64117547025</v>
          </cell>
          <cell r="G9" t="str">
            <v>SBIN0040204</v>
          </cell>
          <cell r="H9" t="str">
            <v>S K</v>
          </cell>
          <cell r="I9">
            <v>30250</v>
          </cell>
          <cell r="J9">
            <v>29</v>
          </cell>
          <cell r="L9">
            <v>28298.387096774193</v>
          </cell>
          <cell r="M9">
            <v>0</v>
          </cell>
          <cell r="N9">
            <v>3250</v>
          </cell>
          <cell r="O9">
            <v>31548.387096774193</v>
          </cell>
          <cell r="Q9">
            <v>0</v>
          </cell>
          <cell r="R9">
            <v>4000</v>
          </cell>
          <cell r="S9">
            <v>27548</v>
          </cell>
          <cell r="U9">
            <v>1000</v>
          </cell>
          <cell r="V9">
            <v>3000</v>
          </cell>
        </row>
        <row r="10">
          <cell r="C10" t="str">
            <v>NARAHARISETTY NAGARJUNA RAO</v>
          </cell>
          <cell r="D10" t="str">
            <v>SBI</v>
          </cell>
          <cell r="E10" t="str">
            <v>JVSL BRANCH</v>
          </cell>
          <cell r="F10" t="str">
            <v>64081518216</v>
          </cell>
          <cell r="G10" t="str">
            <v>SBIN0040558</v>
          </cell>
          <cell r="H10" t="str">
            <v>FAB</v>
          </cell>
          <cell r="I10">
            <v>51000</v>
          </cell>
          <cell r="J10">
            <v>24</v>
          </cell>
          <cell r="L10">
            <v>39483.870967741939</v>
          </cell>
          <cell r="M10">
            <v>0</v>
          </cell>
          <cell r="N10">
            <v>1700</v>
          </cell>
          <cell r="O10">
            <v>41183.870967741939</v>
          </cell>
          <cell r="Q10">
            <v>0</v>
          </cell>
          <cell r="R10">
            <v>2000</v>
          </cell>
          <cell r="S10">
            <v>39184</v>
          </cell>
          <cell r="U10">
            <v>2000</v>
          </cell>
          <cell r="V10">
            <v>0</v>
          </cell>
        </row>
        <row r="11">
          <cell r="C11" t="str">
            <v>S RIYAZUDDIN</v>
          </cell>
          <cell r="D11" t="str">
            <v>SBI</v>
          </cell>
          <cell r="E11" t="str">
            <v>BELLARY</v>
          </cell>
          <cell r="F11" t="str">
            <v>10768746144</v>
          </cell>
          <cell r="G11" t="str">
            <v>SBIN0000817</v>
          </cell>
          <cell r="H11" t="str">
            <v>SUP</v>
          </cell>
          <cell r="I11">
            <v>38500</v>
          </cell>
          <cell r="J11">
            <v>29</v>
          </cell>
          <cell r="L11">
            <v>36016.129032258068</v>
          </cell>
          <cell r="M11">
            <v>0</v>
          </cell>
          <cell r="N11">
            <v>3400</v>
          </cell>
          <cell r="O11">
            <v>39416.129032258068</v>
          </cell>
          <cell r="Q11">
            <v>0</v>
          </cell>
          <cell r="R11">
            <v>0</v>
          </cell>
          <cell r="S11">
            <v>39416</v>
          </cell>
          <cell r="U11">
            <v>0</v>
          </cell>
          <cell r="V11">
            <v>0</v>
          </cell>
        </row>
        <row r="12">
          <cell r="C12" t="str">
            <v>SANKETH B N</v>
          </cell>
          <cell r="D12" t="str">
            <v>SBI</v>
          </cell>
          <cell r="E12" t="str">
            <v>TORANAGALLU</v>
          </cell>
          <cell r="F12" t="str">
            <v>64166538986</v>
          </cell>
          <cell r="G12" t="str">
            <v>SBIN0040558</v>
          </cell>
          <cell r="H12" t="str">
            <v>SUP</v>
          </cell>
          <cell r="I12">
            <v>46500</v>
          </cell>
          <cell r="J12">
            <v>27</v>
          </cell>
          <cell r="L12">
            <v>40500</v>
          </cell>
          <cell r="M12">
            <v>0</v>
          </cell>
          <cell r="N12">
            <v>6350</v>
          </cell>
          <cell r="O12">
            <v>46850</v>
          </cell>
          <cell r="Q12">
            <v>0</v>
          </cell>
          <cell r="R12">
            <v>5000</v>
          </cell>
          <cell r="S12">
            <v>41850</v>
          </cell>
          <cell r="U12">
            <v>2000</v>
          </cell>
          <cell r="V12">
            <v>3000</v>
          </cell>
        </row>
        <row r="13">
          <cell r="C13" t="str">
            <v>S.MOHAMMED SAJID</v>
          </cell>
          <cell r="D13" t="str">
            <v>SBI</v>
          </cell>
          <cell r="E13" t="str">
            <v>BELLARY</v>
          </cell>
          <cell r="F13" t="str">
            <v>10768738847</v>
          </cell>
          <cell r="G13" t="str">
            <v>SBIN0000817</v>
          </cell>
          <cell r="H13" t="str">
            <v>DRI</v>
          </cell>
          <cell r="I13">
            <v>25500</v>
          </cell>
          <cell r="J13">
            <v>27</v>
          </cell>
          <cell r="L13">
            <v>22209.677419354841</v>
          </cell>
          <cell r="M13">
            <v>0</v>
          </cell>
          <cell r="N13">
            <v>3600</v>
          </cell>
          <cell r="O13">
            <v>25809.677419354841</v>
          </cell>
          <cell r="Q13">
            <v>0</v>
          </cell>
          <cell r="R13">
            <v>2000</v>
          </cell>
          <cell r="S13">
            <v>23810</v>
          </cell>
          <cell r="U13">
            <v>2000</v>
          </cell>
          <cell r="V13">
            <v>0</v>
          </cell>
        </row>
        <row r="14">
          <cell r="C14" t="str">
            <v>CHHOTELAL KUMAR</v>
          </cell>
          <cell r="D14" t="str">
            <v>PNB</v>
          </cell>
          <cell r="E14" t="str">
            <v>TORANAGALLU</v>
          </cell>
          <cell r="F14" t="str">
            <v>4999000100003849</v>
          </cell>
          <cell r="G14" t="str">
            <v>PUNB0499900</v>
          </cell>
          <cell r="H14" t="str">
            <v>SAW</v>
          </cell>
          <cell r="I14">
            <v>32000</v>
          </cell>
          <cell r="J14">
            <v>9</v>
          </cell>
          <cell r="L14">
            <v>9290.322580645161</v>
          </cell>
          <cell r="M14">
            <v>0</v>
          </cell>
          <cell r="N14">
            <v>2100</v>
          </cell>
          <cell r="O14">
            <v>11390.322580645161</v>
          </cell>
          <cell r="Q14">
            <v>0</v>
          </cell>
          <cell r="R14">
            <v>800</v>
          </cell>
          <cell r="S14">
            <v>10590</v>
          </cell>
          <cell r="U14">
            <v>0</v>
          </cell>
          <cell r="V14">
            <v>800</v>
          </cell>
        </row>
        <row r="15">
          <cell r="C15" t="str">
            <v>VT SWAMY</v>
          </cell>
          <cell r="D15" t="str">
            <v>K B</v>
          </cell>
          <cell r="E15" t="str">
            <v>TORANAGALLU</v>
          </cell>
          <cell r="F15" t="str">
            <v>7722500100083801</v>
          </cell>
          <cell r="G15" t="str">
            <v>KARB0000772</v>
          </cell>
          <cell r="H15" t="str">
            <v>SUP</v>
          </cell>
          <cell r="I15">
            <v>39800</v>
          </cell>
          <cell r="J15">
            <v>29</v>
          </cell>
          <cell r="L15">
            <v>37232.258064516129</v>
          </cell>
          <cell r="M15">
            <v>0</v>
          </cell>
          <cell r="N15">
            <v>1950</v>
          </cell>
          <cell r="O15">
            <v>39182.258064516129</v>
          </cell>
          <cell r="Q15">
            <v>0</v>
          </cell>
          <cell r="R15">
            <v>2000</v>
          </cell>
          <cell r="S15">
            <v>37182</v>
          </cell>
          <cell r="U15">
            <v>2000</v>
          </cell>
          <cell r="V15">
            <v>0</v>
          </cell>
        </row>
        <row r="16">
          <cell r="C16" t="str">
            <v>IRAYYA SWADIMATH</v>
          </cell>
          <cell r="D16" t="str">
            <v>SBI</v>
          </cell>
          <cell r="E16" t="str">
            <v>TORANAGALLU</v>
          </cell>
          <cell r="F16" t="str">
            <v>34977213461</v>
          </cell>
          <cell r="G16" t="str">
            <v>SBIN0040558</v>
          </cell>
          <cell r="H16" t="str">
            <v>SUP</v>
          </cell>
          <cell r="I16">
            <v>36000</v>
          </cell>
          <cell r="J16">
            <v>29</v>
          </cell>
          <cell r="L16">
            <v>33677.419354838712</v>
          </cell>
          <cell r="M16">
            <v>0</v>
          </cell>
          <cell r="N16">
            <v>1750</v>
          </cell>
          <cell r="O16">
            <v>35427.419354838712</v>
          </cell>
          <cell r="Q16">
            <v>0</v>
          </cell>
          <cell r="R16">
            <v>6000</v>
          </cell>
          <cell r="S16">
            <v>29427</v>
          </cell>
          <cell r="U16">
            <v>1000</v>
          </cell>
          <cell r="V16">
            <v>5000</v>
          </cell>
        </row>
        <row r="17">
          <cell r="C17" t="str">
            <v>BYAS PATHAK</v>
          </cell>
          <cell r="D17" t="str">
            <v>PNB</v>
          </cell>
          <cell r="E17" t="str">
            <v>TORANAGALLU</v>
          </cell>
          <cell r="F17" t="str">
            <v>4999000100005111</v>
          </cell>
          <cell r="G17" t="str">
            <v>PUNB0499900</v>
          </cell>
          <cell r="H17" t="str">
            <v>FAB</v>
          </cell>
          <cell r="I17">
            <v>48000</v>
          </cell>
          <cell r="J17">
            <v>25</v>
          </cell>
          <cell r="L17">
            <v>38709.677419354841</v>
          </cell>
          <cell r="M17">
            <v>0</v>
          </cell>
          <cell r="N17">
            <v>2800</v>
          </cell>
          <cell r="O17">
            <v>41509.677419354841</v>
          </cell>
          <cell r="Q17">
            <v>0</v>
          </cell>
          <cell r="R17">
            <v>0</v>
          </cell>
          <cell r="S17">
            <v>41510</v>
          </cell>
          <cell r="U17">
            <v>0</v>
          </cell>
          <cell r="V17">
            <v>0</v>
          </cell>
        </row>
        <row r="18">
          <cell r="C18" t="str">
            <v>S HARI KRISHNA</v>
          </cell>
          <cell r="D18" t="str">
            <v>PNB</v>
          </cell>
          <cell r="E18" t="str">
            <v>TORANAGALLU</v>
          </cell>
          <cell r="F18" t="str">
            <v>4999000100039615</v>
          </cell>
          <cell r="G18" t="str">
            <v>PUNB0499900</v>
          </cell>
          <cell r="H18" t="str">
            <v>FM</v>
          </cell>
          <cell r="I18">
            <v>37500</v>
          </cell>
          <cell r="J18">
            <v>30</v>
          </cell>
          <cell r="L18">
            <v>36290.322580645166</v>
          </cell>
          <cell r="M18">
            <v>0</v>
          </cell>
          <cell r="N18">
            <v>4000</v>
          </cell>
          <cell r="O18">
            <v>40290.322580645166</v>
          </cell>
          <cell r="Q18">
            <v>0</v>
          </cell>
          <cell r="R18">
            <v>1000</v>
          </cell>
          <cell r="S18">
            <v>39290</v>
          </cell>
          <cell r="U18">
            <v>1000</v>
          </cell>
          <cell r="V18">
            <v>0</v>
          </cell>
        </row>
        <row r="19">
          <cell r="C19" t="str">
            <v>AJAY SHARMA</v>
          </cell>
          <cell r="E19" t="str">
            <v>SUKAHA</v>
          </cell>
          <cell r="F19" t="str">
            <v>691910110010506</v>
          </cell>
          <cell r="G19" t="str">
            <v>BKID0006919</v>
          </cell>
          <cell r="H19" t="str">
            <v>SAFETY</v>
          </cell>
          <cell r="I19">
            <v>31500</v>
          </cell>
          <cell r="J19">
            <v>28</v>
          </cell>
          <cell r="L19">
            <v>28451.612903225807</v>
          </cell>
          <cell r="M19">
            <v>0</v>
          </cell>
          <cell r="N19">
            <v>2800</v>
          </cell>
          <cell r="O19">
            <v>31251.612903225807</v>
          </cell>
          <cell r="Q19">
            <v>0</v>
          </cell>
          <cell r="R19">
            <v>1000</v>
          </cell>
          <cell r="S19">
            <v>30252</v>
          </cell>
          <cell r="U19">
            <v>0</v>
          </cell>
          <cell r="V19">
            <v>1000</v>
          </cell>
        </row>
        <row r="20">
          <cell r="C20" t="str">
            <v>NAGA SUDHEER NAGISETTI</v>
          </cell>
          <cell r="D20" t="str">
            <v>SBI</v>
          </cell>
          <cell r="E20" t="str">
            <v>BANTUMULLI</v>
          </cell>
          <cell r="F20" t="str">
            <v>20212412813</v>
          </cell>
          <cell r="G20" t="str">
            <v>SBIN0021294</v>
          </cell>
          <cell r="H20" t="str">
            <v>A/C</v>
          </cell>
          <cell r="I20">
            <v>36000</v>
          </cell>
          <cell r="J20">
            <v>29</v>
          </cell>
          <cell r="L20">
            <v>33677.419354838712</v>
          </cell>
          <cell r="M20">
            <v>0</v>
          </cell>
          <cell r="N20">
            <v>1950</v>
          </cell>
          <cell r="O20">
            <v>35627.419354838712</v>
          </cell>
          <cell r="Q20">
            <v>0</v>
          </cell>
          <cell r="R20">
            <v>1000</v>
          </cell>
          <cell r="S20">
            <v>34627</v>
          </cell>
          <cell r="U20">
            <v>1000</v>
          </cell>
          <cell r="V20">
            <v>0</v>
          </cell>
        </row>
        <row r="21">
          <cell r="C21" t="str">
            <v>CHANDRA SHEKHAR S</v>
          </cell>
          <cell r="D21" t="str">
            <v>SBI</v>
          </cell>
          <cell r="E21" t="str">
            <v>YELUNEBCHI</v>
          </cell>
          <cell r="F21" t="str">
            <v>32732656611</v>
          </cell>
          <cell r="G21" t="str">
            <v>SBIN0015452</v>
          </cell>
          <cell r="H21" t="str">
            <v>SUP</v>
          </cell>
          <cell r="I21">
            <v>36000</v>
          </cell>
          <cell r="J21">
            <v>28.5</v>
          </cell>
          <cell r="L21">
            <v>33096.774193548386</v>
          </cell>
          <cell r="M21">
            <v>0</v>
          </cell>
          <cell r="N21">
            <v>1725</v>
          </cell>
          <cell r="O21">
            <v>34821.774193548386</v>
          </cell>
          <cell r="Q21">
            <v>0</v>
          </cell>
          <cell r="R21">
            <v>1000</v>
          </cell>
          <cell r="S21">
            <v>33822</v>
          </cell>
          <cell r="U21">
            <v>1000</v>
          </cell>
          <cell r="V21">
            <v>0</v>
          </cell>
        </row>
        <row r="22">
          <cell r="C22" t="str">
            <v>G GURUSWAMY</v>
          </cell>
          <cell r="D22" t="str">
            <v>PNB</v>
          </cell>
          <cell r="E22" t="str">
            <v>TORANAGALLU</v>
          </cell>
          <cell r="F22" t="str">
            <v>4999000100022448</v>
          </cell>
          <cell r="G22" t="str">
            <v>PUNB0499900</v>
          </cell>
          <cell r="H22" t="str">
            <v>SUP</v>
          </cell>
          <cell r="I22">
            <v>31500</v>
          </cell>
          <cell r="J22">
            <v>31</v>
          </cell>
          <cell r="K22">
            <v>48</v>
          </cell>
          <cell r="L22">
            <v>31500</v>
          </cell>
          <cell r="M22">
            <v>4065</v>
          </cell>
          <cell r="N22">
            <v>1850</v>
          </cell>
          <cell r="O22">
            <v>37415</v>
          </cell>
          <cell r="Q22">
            <v>0</v>
          </cell>
          <cell r="R22">
            <v>5500</v>
          </cell>
          <cell r="S22">
            <v>31915</v>
          </cell>
          <cell r="U22">
            <v>1000</v>
          </cell>
          <cell r="V22">
            <v>4500</v>
          </cell>
        </row>
        <row r="23">
          <cell r="C23" t="str">
            <v>JITENDRA PRASAD</v>
          </cell>
          <cell r="D23" t="str">
            <v>PNB</v>
          </cell>
          <cell r="E23" t="str">
            <v>TORANAGALLU</v>
          </cell>
          <cell r="F23" t="str">
            <v>4999000400032239</v>
          </cell>
          <cell r="G23" t="str">
            <v>PUNB0499900</v>
          </cell>
          <cell r="H23" t="str">
            <v>H O</v>
          </cell>
          <cell r="I23">
            <v>31500</v>
          </cell>
          <cell r="J23">
            <v>31</v>
          </cell>
          <cell r="L23">
            <v>31500</v>
          </cell>
          <cell r="M23">
            <v>0</v>
          </cell>
          <cell r="N23">
            <v>1900</v>
          </cell>
          <cell r="O23">
            <v>33400</v>
          </cell>
          <cell r="Q23">
            <v>0</v>
          </cell>
          <cell r="R23">
            <v>1000</v>
          </cell>
          <cell r="S23">
            <v>32400</v>
          </cell>
          <cell r="U23">
            <v>1000</v>
          </cell>
          <cell r="V23">
            <v>0</v>
          </cell>
        </row>
        <row r="24">
          <cell r="C24" t="str">
            <v>SHAHABAD DIVAN</v>
          </cell>
          <cell r="E24" t="str">
            <v>HOSPET</v>
          </cell>
          <cell r="F24" t="str">
            <v>50367137899</v>
          </cell>
          <cell r="G24" t="str">
            <v>IDIB000B015</v>
          </cell>
          <cell r="H24" t="str">
            <v>H</v>
          </cell>
          <cell r="I24">
            <v>10000</v>
          </cell>
          <cell r="J24">
            <v>28</v>
          </cell>
          <cell r="K24">
            <v>0</v>
          </cell>
          <cell r="L24">
            <v>9032.2580645161288</v>
          </cell>
          <cell r="M24">
            <v>0</v>
          </cell>
          <cell r="N24">
            <v>0</v>
          </cell>
          <cell r="O24">
            <v>9032.2580645161288</v>
          </cell>
          <cell r="R24">
            <v>0</v>
          </cell>
          <cell r="S24">
            <v>9032</v>
          </cell>
          <cell r="U24">
            <v>0</v>
          </cell>
          <cell r="V24">
            <v>0</v>
          </cell>
        </row>
        <row r="25">
          <cell r="C25" t="str">
            <v>PAILA SOMESWAR RAO</v>
          </cell>
          <cell r="D25" t="str">
            <v>SBI</v>
          </cell>
          <cell r="E25" t="str">
            <v>BARUVA</v>
          </cell>
          <cell r="F25" t="str">
            <v>31857426874</v>
          </cell>
          <cell r="G25" t="str">
            <v>SBIN0002695</v>
          </cell>
          <cell r="H25" t="str">
            <v>H O</v>
          </cell>
          <cell r="I25">
            <v>30500</v>
          </cell>
          <cell r="J25">
            <v>31</v>
          </cell>
          <cell r="K25">
            <v>30</v>
          </cell>
          <cell r="L25">
            <v>30500</v>
          </cell>
          <cell r="M25">
            <v>2460</v>
          </cell>
          <cell r="N25">
            <v>3400</v>
          </cell>
          <cell r="O25">
            <v>36360</v>
          </cell>
          <cell r="Q25">
            <v>0</v>
          </cell>
          <cell r="R25">
            <v>12000</v>
          </cell>
          <cell r="S25">
            <v>24360</v>
          </cell>
          <cell r="U25">
            <v>3000</v>
          </cell>
          <cell r="V25">
            <v>9000</v>
          </cell>
        </row>
        <row r="26">
          <cell r="C26" t="str">
            <v>MANISH KUMAR SINGH</v>
          </cell>
          <cell r="D26" t="str">
            <v>VIKASH</v>
          </cell>
          <cell r="E26" t="str">
            <v>TORANAGALLU</v>
          </cell>
          <cell r="F26" t="str">
            <v>007001002472</v>
          </cell>
          <cell r="G26" t="str">
            <v>ICIC00VSCBL</v>
          </cell>
          <cell r="H26" t="str">
            <v>H O</v>
          </cell>
          <cell r="I26">
            <v>28500</v>
          </cell>
          <cell r="J26">
            <v>0</v>
          </cell>
          <cell r="L26">
            <v>0</v>
          </cell>
          <cell r="M26">
            <v>0</v>
          </cell>
          <cell r="N26">
            <v>900</v>
          </cell>
          <cell r="O26">
            <v>900</v>
          </cell>
          <cell r="Q26">
            <v>0</v>
          </cell>
          <cell r="R26">
            <v>0</v>
          </cell>
          <cell r="S26">
            <v>900</v>
          </cell>
          <cell r="U26">
            <v>0</v>
          </cell>
          <cell r="V26">
            <v>0</v>
          </cell>
        </row>
        <row r="27">
          <cell r="C27" t="str">
            <v>GAGAN SINGH</v>
          </cell>
          <cell r="D27" t="str">
            <v>PNB</v>
          </cell>
          <cell r="E27" t="str">
            <v>TORANAGALLU</v>
          </cell>
          <cell r="F27" t="str">
            <v>4999000100034814</v>
          </cell>
          <cell r="G27" t="str">
            <v>PUNB0499900</v>
          </cell>
          <cell r="H27" t="str">
            <v>ELE</v>
          </cell>
          <cell r="I27">
            <v>29800</v>
          </cell>
          <cell r="J27">
            <v>31</v>
          </cell>
          <cell r="L27">
            <v>29800</v>
          </cell>
          <cell r="M27">
            <v>0</v>
          </cell>
          <cell r="N27">
            <v>3100</v>
          </cell>
          <cell r="O27">
            <v>32900</v>
          </cell>
          <cell r="Q27">
            <v>0</v>
          </cell>
          <cell r="R27">
            <v>2000</v>
          </cell>
          <cell r="S27">
            <v>30900</v>
          </cell>
          <cell r="U27">
            <v>2000</v>
          </cell>
          <cell r="V27">
            <v>0</v>
          </cell>
        </row>
        <row r="28">
          <cell r="C28" t="str">
            <v>SATISH KUMAR YADAW</v>
          </cell>
          <cell r="D28" t="str">
            <v>PNB</v>
          </cell>
          <cell r="E28" t="str">
            <v>TORANAGALLU</v>
          </cell>
          <cell r="F28" t="str">
            <v>4999002100000796</v>
          </cell>
          <cell r="G28" t="str">
            <v>PUNB0499900</v>
          </cell>
          <cell r="H28" t="str">
            <v>M F</v>
          </cell>
          <cell r="I28">
            <v>50500</v>
          </cell>
          <cell r="J28">
            <v>8</v>
          </cell>
          <cell r="L28">
            <v>13032.258064516129</v>
          </cell>
          <cell r="M28">
            <v>0</v>
          </cell>
          <cell r="N28">
            <v>0</v>
          </cell>
          <cell r="O28">
            <v>13032.258064516129</v>
          </cell>
          <cell r="Q28">
            <v>0</v>
          </cell>
          <cell r="R28">
            <v>2000</v>
          </cell>
          <cell r="S28">
            <v>11032</v>
          </cell>
          <cell r="U28">
            <v>2000</v>
          </cell>
          <cell r="V28">
            <v>0</v>
          </cell>
        </row>
        <row r="29">
          <cell r="C29" t="str">
            <v>K ERAPPA</v>
          </cell>
          <cell r="D29" t="str">
            <v>SBI</v>
          </cell>
          <cell r="E29" t="str">
            <v>HOSPET</v>
          </cell>
          <cell r="F29" t="str">
            <v>30293831083</v>
          </cell>
          <cell r="G29" t="str">
            <v>SBIN0000763</v>
          </cell>
          <cell r="H29" t="str">
            <v>DRI</v>
          </cell>
          <cell r="I29">
            <v>25000</v>
          </cell>
          <cell r="J29">
            <v>26.5</v>
          </cell>
          <cell r="K29">
            <v>77</v>
          </cell>
          <cell r="L29">
            <v>21370.967741935485</v>
          </cell>
          <cell r="M29">
            <v>5175</v>
          </cell>
          <cell r="N29">
            <v>2650</v>
          </cell>
          <cell r="O29">
            <v>29195.967741935485</v>
          </cell>
          <cell r="R29">
            <v>1500</v>
          </cell>
          <cell r="S29">
            <v>27696</v>
          </cell>
          <cell r="U29">
            <v>1500</v>
          </cell>
          <cell r="V29">
            <v>0</v>
          </cell>
        </row>
        <row r="30">
          <cell r="C30" t="str">
            <v>ALI MAHAMMED H</v>
          </cell>
          <cell r="D30" t="str">
            <v>SBI</v>
          </cell>
          <cell r="E30" t="str">
            <v>TORANAGALLU</v>
          </cell>
          <cell r="F30" t="str">
            <v>54017449184</v>
          </cell>
          <cell r="G30" t="str">
            <v>SBIN0040558</v>
          </cell>
          <cell r="H30" t="str">
            <v>MEC</v>
          </cell>
          <cell r="I30">
            <v>7000</v>
          </cell>
          <cell r="J30">
            <v>31</v>
          </cell>
          <cell r="L30">
            <v>7000</v>
          </cell>
          <cell r="M30">
            <v>0</v>
          </cell>
          <cell r="N30">
            <v>0</v>
          </cell>
          <cell r="O30">
            <v>7000</v>
          </cell>
          <cell r="Q30">
            <v>0</v>
          </cell>
          <cell r="R30">
            <v>0</v>
          </cell>
          <cell r="S30">
            <v>7000</v>
          </cell>
          <cell r="U30">
            <v>0</v>
          </cell>
          <cell r="V30">
            <v>0</v>
          </cell>
        </row>
        <row r="31">
          <cell r="C31" t="str">
            <v>MARESHA</v>
          </cell>
          <cell r="D31" t="str">
            <v>SBI</v>
          </cell>
          <cell r="E31" t="str">
            <v>KAMPLI</v>
          </cell>
          <cell r="F31" t="str">
            <v>37266115960</v>
          </cell>
          <cell r="G31" t="str">
            <v>SBIN0040118</v>
          </cell>
          <cell r="H31" t="str">
            <v>SK</v>
          </cell>
          <cell r="I31">
            <v>25500</v>
          </cell>
          <cell r="J31">
            <v>31</v>
          </cell>
          <cell r="K31">
            <v>36</v>
          </cell>
          <cell r="L31">
            <v>25500</v>
          </cell>
          <cell r="M31">
            <v>2468</v>
          </cell>
          <cell r="N31">
            <v>4550</v>
          </cell>
          <cell r="O31">
            <v>32518</v>
          </cell>
          <cell r="R31">
            <v>3000</v>
          </cell>
          <cell r="S31">
            <v>29518</v>
          </cell>
          <cell r="U31">
            <v>1000</v>
          </cell>
          <cell r="V31">
            <v>2000</v>
          </cell>
        </row>
        <row r="32">
          <cell r="C32" t="str">
            <v>EROTHU DEVARAJU</v>
          </cell>
          <cell r="D32" t="str">
            <v>VIKASH</v>
          </cell>
          <cell r="E32" t="str">
            <v>TORANAGALLU</v>
          </cell>
          <cell r="F32" t="str">
            <v>007001005747</v>
          </cell>
          <cell r="G32" t="str">
            <v>ICIC00VSCBL</v>
          </cell>
          <cell r="H32" t="str">
            <v>F</v>
          </cell>
          <cell r="I32">
            <v>28000</v>
          </cell>
          <cell r="J32">
            <v>31</v>
          </cell>
          <cell r="L32">
            <v>28000</v>
          </cell>
          <cell r="M32">
            <v>0</v>
          </cell>
          <cell r="N32">
            <v>0</v>
          </cell>
          <cell r="O32">
            <v>28000</v>
          </cell>
          <cell r="P32">
            <v>0</v>
          </cell>
          <cell r="Q32">
            <v>0</v>
          </cell>
          <cell r="R32">
            <v>23500</v>
          </cell>
          <cell r="S32">
            <v>4500</v>
          </cell>
          <cell r="U32">
            <v>3500</v>
          </cell>
          <cell r="V32">
            <v>0</v>
          </cell>
          <cell r="W32">
            <v>20000</v>
          </cell>
        </row>
        <row r="33">
          <cell r="C33" t="str">
            <v>CHANDAN KUMAR</v>
          </cell>
          <cell r="D33" t="str">
            <v>SBI</v>
          </cell>
          <cell r="E33" t="str">
            <v>BARAUNI INDUSTRAIL ESTATE</v>
          </cell>
          <cell r="F33" t="str">
            <v>34561959249</v>
          </cell>
          <cell r="G33" t="str">
            <v>SBIN0004520</v>
          </cell>
          <cell r="H33" t="str">
            <v>F</v>
          </cell>
          <cell r="I33">
            <v>27000</v>
          </cell>
          <cell r="J33">
            <v>12</v>
          </cell>
          <cell r="K33">
            <v>16</v>
          </cell>
          <cell r="L33">
            <v>10451.612903225807</v>
          </cell>
          <cell r="M33">
            <v>1161</v>
          </cell>
          <cell r="N33">
            <v>1500</v>
          </cell>
          <cell r="O33">
            <v>13112.612903225807</v>
          </cell>
          <cell r="P33">
            <v>0</v>
          </cell>
          <cell r="Q33">
            <v>0</v>
          </cell>
          <cell r="R33">
            <v>1000</v>
          </cell>
          <cell r="S33">
            <v>12113</v>
          </cell>
          <cell r="U33">
            <v>1000</v>
          </cell>
          <cell r="V33">
            <v>0</v>
          </cell>
        </row>
        <row r="34">
          <cell r="C34" t="str">
            <v>PALASA LINGARAJU</v>
          </cell>
          <cell r="D34" t="str">
            <v>SBI</v>
          </cell>
          <cell r="E34" t="str">
            <v>SOMPETA</v>
          </cell>
          <cell r="F34" t="str">
            <v>62472529194</v>
          </cell>
          <cell r="G34" t="str">
            <v>SBIN0021312</v>
          </cell>
          <cell r="H34" t="str">
            <v>F</v>
          </cell>
          <cell r="I34">
            <v>28000</v>
          </cell>
          <cell r="J34">
            <v>8</v>
          </cell>
          <cell r="K34">
            <v>0</v>
          </cell>
          <cell r="L34">
            <v>7225.8064516129034</v>
          </cell>
          <cell r="M34">
            <v>0</v>
          </cell>
          <cell r="N34">
            <v>2100</v>
          </cell>
          <cell r="O34">
            <v>9325.8064516129034</v>
          </cell>
          <cell r="P34">
            <v>0</v>
          </cell>
          <cell r="Q34">
            <v>0</v>
          </cell>
          <cell r="R34">
            <v>1000</v>
          </cell>
          <cell r="S34">
            <v>8326</v>
          </cell>
          <cell r="U34">
            <v>1000</v>
          </cell>
          <cell r="V34">
            <v>0</v>
          </cell>
        </row>
        <row r="35">
          <cell r="C35" t="str">
            <v>MAHTAB ALAM</v>
          </cell>
          <cell r="D35" t="str">
            <v>PNB</v>
          </cell>
          <cell r="E35" t="str">
            <v>PATNA</v>
          </cell>
          <cell r="F35" t="str">
            <v>70260100101725</v>
          </cell>
          <cell r="G35" t="str">
            <v>PUNB0MBGB06</v>
          </cell>
          <cell r="H35" t="str">
            <v>F</v>
          </cell>
          <cell r="I35">
            <v>30500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</row>
        <row r="36">
          <cell r="C36" t="str">
            <v>MADIYA LAXMINARAYANA</v>
          </cell>
          <cell r="D36" t="str">
            <v>SBI</v>
          </cell>
          <cell r="E36" t="str">
            <v>HARIPURAM</v>
          </cell>
          <cell r="F36" t="str">
            <v>33913301973</v>
          </cell>
          <cell r="G36" t="str">
            <v>SBIN0015307</v>
          </cell>
          <cell r="H36" t="str">
            <v>F</v>
          </cell>
          <cell r="I36">
            <v>22500</v>
          </cell>
          <cell r="J36">
            <v>25</v>
          </cell>
          <cell r="K36">
            <v>0</v>
          </cell>
          <cell r="L36">
            <v>18145.16129032258</v>
          </cell>
          <cell r="M36">
            <v>0</v>
          </cell>
          <cell r="N36">
            <v>2000</v>
          </cell>
          <cell r="O36">
            <v>20145.16129032258</v>
          </cell>
          <cell r="P36">
            <v>0</v>
          </cell>
          <cell r="Q36">
            <v>0</v>
          </cell>
          <cell r="R36">
            <v>6000</v>
          </cell>
          <cell r="S36">
            <v>14145</v>
          </cell>
          <cell r="U36">
            <v>3000</v>
          </cell>
          <cell r="V36">
            <v>3000</v>
          </cell>
        </row>
        <row r="37">
          <cell r="C37" t="str">
            <v>N HUSENAPPA</v>
          </cell>
          <cell r="D37" t="str">
            <v>K B</v>
          </cell>
          <cell r="E37" t="str">
            <v>TORANAGALLU</v>
          </cell>
          <cell r="F37" t="str">
            <v>7722500100460501</v>
          </cell>
          <cell r="G37" t="str">
            <v>KARB0000772</v>
          </cell>
          <cell r="H37" t="str">
            <v>G/C</v>
          </cell>
          <cell r="I37">
            <v>500</v>
          </cell>
          <cell r="J37">
            <v>31</v>
          </cell>
          <cell r="K37">
            <v>91</v>
          </cell>
          <cell r="L37">
            <v>15500</v>
          </cell>
          <cell r="M37">
            <v>11375</v>
          </cell>
          <cell r="N37">
            <v>600</v>
          </cell>
          <cell r="O37">
            <v>27475</v>
          </cell>
          <cell r="Q37">
            <v>0</v>
          </cell>
          <cell r="R37">
            <v>18000</v>
          </cell>
          <cell r="S37">
            <v>9475</v>
          </cell>
          <cell r="U37">
            <v>3000</v>
          </cell>
          <cell r="V37">
            <v>5000</v>
          </cell>
          <cell r="W37">
            <v>10000</v>
          </cell>
        </row>
        <row r="38">
          <cell r="C38" t="str">
            <v>R RATHNA NAIK</v>
          </cell>
          <cell r="D38" t="str">
            <v>SBI</v>
          </cell>
          <cell r="E38" t="str">
            <v>URAVAKONDA</v>
          </cell>
          <cell r="F38" t="str">
            <v>31353262136</v>
          </cell>
          <cell r="G38" t="str">
            <v>SBIN0000946</v>
          </cell>
          <cell r="H38" t="str">
            <v>G/C</v>
          </cell>
          <cell r="I38">
            <v>440</v>
          </cell>
          <cell r="J38">
            <v>5</v>
          </cell>
          <cell r="K38">
            <v>15</v>
          </cell>
          <cell r="L38">
            <v>2200</v>
          </cell>
          <cell r="M38">
            <v>1650</v>
          </cell>
          <cell r="N38">
            <v>0</v>
          </cell>
          <cell r="O38">
            <v>3850</v>
          </cell>
          <cell r="P38">
            <v>0</v>
          </cell>
          <cell r="Q38">
            <v>0</v>
          </cell>
          <cell r="R38">
            <v>1000</v>
          </cell>
          <cell r="S38">
            <v>2850</v>
          </cell>
          <cell r="U38">
            <v>1000</v>
          </cell>
          <cell r="V38">
            <v>0</v>
          </cell>
        </row>
        <row r="39">
          <cell r="C39" t="str">
            <v>SUGALI VEERANNA</v>
          </cell>
          <cell r="D39" t="str">
            <v>SBI</v>
          </cell>
          <cell r="E39" t="str">
            <v>ANANTAPUR</v>
          </cell>
          <cell r="F39" t="str">
            <v>36728809780</v>
          </cell>
          <cell r="G39" t="str">
            <v>SBIN0010659</v>
          </cell>
          <cell r="H39" t="str">
            <v>GRI</v>
          </cell>
          <cell r="I39">
            <v>23000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</row>
        <row r="40">
          <cell r="C40" t="str">
            <v>PRAPHULA CHANDRA PRADHAN</v>
          </cell>
          <cell r="D40" t="str">
            <v>SBI</v>
          </cell>
          <cell r="E40" t="str">
            <v>PATRAPUR</v>
          </cell>
          <cell r="F40" t="str">
            <v>32292975770</v>
          </cell>
          <cell r="G40" t="str">
            <v>SBIN0013633</v>
          </cell>
          <cell r="H40" t="str">
            <v>GRI</v>
          </cell>
          <cell r="I40">
            <v>24000</v>
          </cell>
          <cell r="J40">
            <v>5</v>
          </cell>
          <cell r="K40">
            <v>0</v>
          </cell>
          <cell r="L40">
            <v>3870.9677419354839</v>
          </cell>
          <cell r="M40">
            <v>0</v>
          </cell>
          <cell r="N40">
            <v>0</v>
          </cell>
          <cell r="O40">
            <v>3870.9677419354839</v>
          </cell>
          <cell r="P40">
            <v>0</v>
          </cell>
          <cell r="Q40">
            <v>0</v>
          </cell>
          <cell r="R40">
            <v>1250</v>
          </cell>
          <cell r="S40">
            <v>2621</v>
          </cell>
          <cell r="U40">
            <v>1250</v>
          </cell>
          <cell r="V40">
            <v>0</v>
          </cell>
        </row>
        <row r="41">
          <cell r="C41" t="str">
            <v>GANGAMMA</v>
          </cell>
          <cell r="D41" t="str">
            <v>VIKASH</v>
          </cell>
          <cell r="E41" t="str">
            <v>TORANAGALLU</v>
          </cell>
          <cell r="F41" t="str">
            <v>007001001174</v>
          </cell>
          <cell r="G41" t="str">
            <v>ICIC00VSCBL</v>
          </cell>
          <cell r="H41" t="str">
            <v>H</v>
          </cell>
          <cell r="I41">
            <v>6000</v>
          </cell>
          <cell r="J41">
            <v>31</v>
          </cell>
          <cell r="K41">
            <v>0</v>
          </cell>
          <cell r="L41">
            <v>6000</v>
          </cell>
          <cell r="M41">
            <v>0</v>
          </cell>
          <cell r="N41">
            <v>0</v>
          </cell>
          <cell r="O41">
            <v>6000</v>
          </cell>
          <cell r="P41">
            <v>0</v>
          </cell>
          <cell r="Q41">
            <v>0</v>
          </cell>
          <cell r="R41">
            <v>0</v>
          </cell>
          <cell r="S41">
            <v>6000</v>
          </cell>
          <cell r="U41">
            <v>0</v>
          </cell>
          <cell r="V41">
            <v>0</v>
          </cell>
        </row>
        <row r="42">
          <cell r="C42" t="str">
            <v>H MANJUNATHA</v>
          </cell>
          <cell r="E42" t="str">
            <v>KAMPLI</v>
          </cell>
          <cell r="F42" t="str">
            <v>06112210048173</v>
          </cell>
          <cell r="G42" t="str">
            <v>CNRB0010611</v>
          </cell>
          <cell r="H42" t="str">
            <v>H</v>
          </cell>
          <cell r="I42">
            <v>18000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</row>
        <row r="43">
          <cell r="C43" t="str">
            <v>ABHINASH KUMAR</v>
          </cell>
          <cell r="D43" t="str">
            <v>AIRTEL</v>
          </cell>
          <cell r="E43" t="str">
            <v>GURGOAN</v>
          </cell>
          <cell r="F43" t="str">
            <v>8722722527</v>
          </cell>
          <cell r="G43" t="str">
            <v>AIRP0000001</v>
          </cell>
          <cell r="H43" t="str">
            <v>T/W</v>
          </cell>
          <cell r="I43">
            <v>21000</v>
          </cell>
          <cell r="J43">
            <v>31</v>
          </cell>
          <cell r="K43">
            <v>55</v>
          </cell>
          <cell r="L43">
            <v>21000</v>
          </cell>
          <cell r="M43">
            <v>3105</v>
          </cell>
          <cell r="N43">
            <v>0</v>
          </cell>
          <cell r="O43">
            <v>24105</v>
          </cell>
          <cell r="P43">
            <v>0</v>
          </cell>
          <cell r="Q43">
            <v>0</v>
          </cell>
          <cell r="R43">
            <v>3000</v>
          </cell>
          <cell r="S43">
            <v>21105</v>
          </cell>
          <cell r="U43">
            <v>3000</v>
          </cell>
          <cell r="V43">
            <v>0</v>
          </cell>
        </row>
        <row r="44">
          <cell r="C44" t="str">
            <v>BALARAM KADUVA</v>
          </cell>
          <cell r="D44" t="str">
            <v>SBI</v>
          </cell>
          <cell r="E44" t="str">
            <v>KANCHILI</v>
          </cell>
          <cell r="F44" t="str">
            <v>33662012475</v>
          </cell>
          <cell r="G44" t="str">
            <v>SBIN0015709</v>
          </cell>
          <cell r="H44" t="str">
            <v>G/C</v>
          </cell>
          <cell r="I44">
            <v>19000</v>
          </cell>
          <cell r="J44">
            <v>29</v>
          </cell>
          <cell r="K44">
            <v>0</v>
          </cell>
          <cell r="L44">
            <v>17774.193548387095</v>
          </cell>
          <cell r="M44">
            <v>0</v>
          </cell>
          <cell r="N44">
            <v>0</v>
          </cell>
          <cell r="O44">
            <v>17774.193548387095</v>
          </cell>
          <cell r="P44">
            <v>0</v>
          </cell>
          <cell r="Q44">
            <v>0</v>
          </cell>
          <cell r="R44">
            <v>3000</v>
          </cell>
          <cell r="S44">
            <v>14774</v>
          </cell>
          <cell r="U44">
            <v>3000</v>
          </cell>
          <cell r="V44">
            <v>0</v>
          </cell>
        </row>
        <row r="45">
          <cell r="C45" t="str">
            <v>UMESHRAUT</v>
          </cell>
          <cell r="D45" t="str">
            <v>VIKASH</v>
          </cell>
          <cell r="E45" t="str">
            <v>TORANAGALLU</v>
          </cell>
          <cell r="F45" t="str">
            <v>007001001539</v>
          </cell>
          <cell r="G45" t="str">
            <v>ICIC00VSCBL</v>
          </cell>
          <cell r="H45" t="str">
            <v>K</v>
          </cell>
          <cell r="I45">
            <v>420</v>
          </cell>
          <cell r="J45">
            <v>14.5</v>
          </cell>
          <cell r="K45">
            <v>45</v>
          </cell>
          <cell r="L45">
            <v>6090</v>
          </cell>
          <cell r="M45">
            <v>4725</v>
          </cell>
          <cell r="N45">
            <v>0</v>
          </cell>
          <cell r="O45">
            <v>10815</v>
          </cell>
          <cell r="P45">
            <v>0</v>
          </cell>
          <cell r="Q45">
            <v>0</v>
          </cell>
          <cell r="R45">
            <v>700</v>
          </cell>
          <cell r="S45">
            <v>10115</v>
          </cell>
          <cell r="U45">
            <v>700</v>
          </cell>
          <cell r="V45">
            <v>0</v>
          </cell>
        </row>
        <row r="46">
          <cell r="C46" t="str">
            <v>BASANT PRADHAN</v>
          </cell>
          <cell r="D46" t="str">
            <v>CANARA BANK</v>
          </cell>
          <cell r="E46" t="str">
            <v>PATRAPUR</v>
          </cell>
          <cell r="F46" t="str">
            <v>0288101024216</v>
          </cell>
          <cell r="G46" t="str">
            <v>CNRB0000288</v>
          </cell>
          <cell r="H46" t="str">
            <v>K</v>
          </cell>
          <cell r="I46">
            <v>16000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</row>
        <row r="47">
          <cell r="C47" t="str">
            <v>RAJESH KUMAR SINGH</v>
          </cell>
          <cell r="D47" t="str">
            <v>Indian Bank</v>
          </cell>
          <cell r="E47" t="str">
            <v>KOCHAR</v>
          </cell>
          <cell r="F47" t="str">
            <v>6097167930</v>
          </cell>
          <cell r="G47" t="str">
            <v>IDIB000D033</v>
          </cell>
          <cell r="H47" t="str">
            <v>K</v>
          </cell>
          <cell r="I47">
            <v>380</v>
          </cell>
          <cell r="J47">
            <v>31</v>
          </cell>
          <cell r="K47">
            <v>130</v>
          </cell>
          <cell r="L47">
            <v>11780</v>
          </cell>
          <cell r="M47">
            <v>12350</v>
          </cell>
          <cell r="N47">
            <v>0</v>
          </cell>
          <cell r="O47">
            <v>24130</v>
          </cell>
          <cell r="P47">
            <v>0</v>
          </cell>
          <cell r="Q47">
            <v>0</v>
          </cell>
          <cell r="R47">
            <v>2100</v>
          </cell>
          <cell r="S47">
            <v>22030</v>
          </cell>
          <cell r="U47">
            <v>2100</v>
          </cell>
          <cell r="V47">
            <v>0</v>
          </cell>
        </row>
        <row r="48">
          <cell r="C48" t="str">
            <v>NAKUL BEHARA</v>
          </cell>
          <cell r="D48" t="str">
            <v>SBI</v>
          </cell>
          <cell r="E48" t="str">
            <v>KANCHILI</v>
          </cell>
          <cell r="F48" t="str">
            <v>20399901057</v>
          </cell>
          <cell r="G48" t="str">
            <v>SBIN0015709</v>
          </cell>
          <cell r="H48" t="str">
            <v>K</v>
          </cell>
          <cell r="I48">
            <v>18000</v>
          </cell>
          <cell r="J48">
            <v>30</v>
          </cell>
          <cell r="K48">
            <v>0</v>
          </cell>
          <cell r="L48">
            <v>17419.354838709678</v>
          </cell>
          <cell r="M48">
            <v>0</v>
          </cell>
          <cell r="N48">
            <v>0</v>
          </cell>
          <cell r="O48">
            <v>17419.354838709678</v>
          </cell>
          <cell r="P48">
            <v>0</v>
          </cell>
          <cell r="Q48">
            <v>0</v>
          </cell>
          <cell r="R48">
            <v>14000</v>
          </cell>
          <cell r="S48">
            <v>3419</v>
          </cell>
          <cell r="U48">
            <v>4000</v>
          </cell>
          <cell r="V48">
            <v>0</v>
          </cell>
          <cell r="W48">
            <v>10000</v>
          </cell>
        </row>
        <row r="49">
          <cell r="C49" t="str">
            <v>VIR RANJAN SINGH</v>
          </cell>
          <cell r="E49" t="str">
            <v>POTAHI</v>
          </cell>
          <cell r="F49" t="str">
            <v>20413888351</v>
          </cell>
          <cell r="G49" t="str">
            <v>SBIN0002989</v>
          </cell>
          <cell r="H49" t="str">
            <v>K</v>
          </cell>
          <cell r="I49">
            <v>21000</v>
          </cell>
          <cell r="J49">
            <v>8</v>
          </cell>
          <cell r="K49">
            <v>12</v>
          </cell>
          <cell r="L49">
            <v>5419.3548387096771</v>
          </cell>
          <cell r="M49">
            <v>677</v>
          </cell>
          <cell r="N49">
            <v>0</v>
          </cell>
          <cell r="O49">
            <v>6096.3548387096771</v>
          </cell>
          <cell r="P49">
            <v>0</v>
          </cell>
          <cell r="Q49">
            <v>0</v>
          </cell>
          <cell r="R49">
            <v>1000</v>
          </cell>
          <cell r="S49">
            <v>5096</v>
          </cell>
          <cell r="U49">
            <v>1000</v>
          </cell>
          <cell r="V49">
            <v>0</v>
          </cell>
        </row>
        <row r="50">
          <cell r="C50" t="str">
            <v>VENKATESH</v>
          </cell>
          <cell r="E50" t="str">
            <v>NEMKAL</v>
          </cell>
          <cell r="F50" t="str">
            <v>912202010001312</v>
          </cell>
          <cell r="G50" t="str">
            <v>UBIN0591220</v>
          </cell>
          <cell r="H50" t="str">
            <v>MW</v>
          </cell>
          <cell r="I50">
            <v>26000</v>
          </cell>
          <cell r="J50">
            <v>21</v>
          </cell>
          <cell r="K50">
            <v>0</v>
          </cell>
          <cell r="L50">
            <v>17612.903225806451</v>
          </cell>
          <cell r="M50">
            <v>0</v>
          </cell>
          <cell r="N50">
            <v>1500</v>
          </cell>
          <cell r="O50">
            <v>19112.903225806451</v>
          </cell>
          <cell r="Q50">
            <v>0</v>
          </cell>
          <cell r="R50">
            <v>2000</v>
          </cell>
          <cell r="S50">
            <v>17113</v>
          </cell>
          <cell r="U50">
            <v>2000</v>
          </cell>
          <cell r="V50">
            <v>0</v>
          </cell>
        </row>
        <row r="51">
          <cell r="C51" t="str">
            <v>SHAMBHU KUMAR THAKUR</v>
          </cell>
          <cell r="D51" t="str">
            <v>SBI</v>
          </cell>
          <cell r="E51" t="str">
            <v>HUSSAINABAD</v>
          </cell>
          <cell r="F51" t="str">
            <v>36544200108</v>
          </cell>
          <cell r="G51" t="str">
            <v>SBIN0002947</v>
          </cell>
          <cell r="H51" t="str">
            <v>MW</v>
          </cell>
          <cell r="I51">
            <v>25500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</row>
        <row r="52">
          <cell r="C52" t="str">
            <v>BASHISHTA KUMAR SINGH</v>
          </cell>
          <cell r="D52" t="str">
            <v>SBI</v>
          </cell>
          <cell r="E52" t="str">
            <v>NISA JINDAL CAMPUS</v>
          </cell>
          <cell r="F52" t="str">
            <v>368101502164</v>
          </cell>
          <cell r="G52" t="str">
            <v>ICIC0003681</v>
          </cell>
          <cell r="H52" t="str">
            <v>MW</v>
          </cell>
          <cell r="I52">
            <v>23000</v>
          </cell>
          <cell r="J52">
            <v>17</v>
          </cell>
          <cell r="K52">
            <v>5</v>
          </cell>
          <cell r="L52">
            <v>12612.903225806451</v>
          </cell>
          <cell r="M52">
            <v>309</v>
          </cell>
          <cell r="N52">
            <v>0</v>
          </cell>
          <cell r="O52">
            <v>12921.903225806451</v>
          </cell>
          <cell r="P52">
            <v>0</v>
          </cell>
          <cell r="Q52">
            <v>0</v>
          </cell>
          <cell r="R52">
            <v>-2000</v>
          </cell>
          <cell r="S52">
            <v>14922</v>
          </cell>
          <cell r="U52">
            <v>3000</v>
          </cell>
          <cell r="V52">
            <v>10000</v>
          </cell>
          <cell r="W52">
            <v>-15000</v>
          </cell>
        </row>
        <row r="53">
          <cell r="C53" t="str">
            <v>CHINNATI MALLAYYA</v>
          </cell>
          <cell r="E53" t="str">
            <v>TORANAGALLU</v>
          </cell>
          <cell r="F53" t="str">
            <v>06082200040208</v>
          </cell>
          <cell r="G53" t="str">
            <v>CNRB0010608</v>
          </cell>
          <cell r="H53" t="str">
            <v>P</v>
          </cell>
          <cell r="I53">
            <v>640</v>
          </cell>
          <cell r="J53">
            <v>26</v>
          </cell>
          <cell r="K53">
            <v>0</v>
          </cell>
          <cell r="L53">
            <v>16640</v>
          </cell>
          <cell r="M53">
            <v>0</v>
          </cell>
          <cell r="N53">
            <v>0</v>
          </cell>
          <cell r="O53">
            <v>16640</v>
          </cell>
          <cell r="P53">
            <v>0</v>
          </cell>
          <cell r="Q53">
            <v>0</v>
          </cell>
          <cell r="R53">
            <v>4000</v>
          </cell>
          <cell r="S53">
            <v>12640</v>
          </cell>
          <cell r="U53">
            <v>4000</v>
          </cell>
          <cell r="V53">
            <v>0</v>
          </cell>
        </row>
        <row r="54">
          <cell r="C54" t="str">
            <v>VADDARA SHANKARAPPA</v>
          </cell>
          <cell r="E54" t="str">
            <v>TORANAGALLU</v>
          </cell>
          <cell r="F54" t="str">
            <v>06082200004387</v>
          </cell>
          <cell r="G54" t="str">
            <v>CNRB0010608</v>
          </cell>
          <cell r="H54" t="str">
            <v>P</v>
          </cell>
          <cell r="I54">
            <v>540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</row>
        <row r="55">
          <cell r="C55" t="str">
            <v>KORAVARA MAHESH</v>
          </cell>
          <cell r="D55" t="str">
            <v>VIKASH</v>
          </cell>
          <cell r="E55" t="str">
            <v>TORANAGALLU</v>
          </cell>
          <cell r="F55" t="str">
            <v>007001005498</v>
          </cell>
          <cell r="G55" t="str">
            <v>ICIC00VSCBL</v>
          </cell>
          <cell r="H55" t="str">
            <v>P</v>
          </cell>
          <cell r="I55">
            <v>450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</row>
        <row r="56">
          <cell r="C56" t="str">
            <v>CHUNNU KUMAR SINGH</v>
          </cell>
          <cell r="D56" t="str">
            <v>AIRTEL</v>
          </cell>
          <cell r="E56" t="str">
            <v>GURGOAN</v>
          </cell>
          <cell r="F56" t="str">
            <v>9901591679</v>
          </cell>
          <cell r="G56" t="str">
            <v>AIRP0000001</v>
          </cell>
          <cell r="H56" t="str">
            <v>R</v>
          </cell>
          <cell r="I56">
            <v>25250</v>
          </cell>
          <cell r="J56">
            <v>22.5</v>
          </cell>
          <cell r="K56">
            <v>24</v>
          </cell>
          <cell r="L56">
            <v>18326.612903225807</v>
          </cell>
          <cell r="M56">
            <v>1629</v>
          </cell>
          <cell r="N56">
            <v>0</v>
          </cell>
          <cell r="O56">
            <v>19955.612903225807</v>
          </cell>
          <cell r="P56">
            <v>0</v>
          </cell>
          <cell r="Q56">
            <v>0</v>
          </cell>
          <cell r="R56">
            <v>1000</v>
          </cell>
          <cell r="S56">
            <v>18956</v>
          </cell>
          <cell r="U56">
            <v>1000</v>
          </cell>
          <cell r="V56">
            <v>0</v>
          </cell>
        </row>
        <row r="57">
          <cell r="C57" t="str">
            <v>SHIVSAFIR PASWAN</v>
          </cell>
          <cell r="D57" t="str">
            <v>VIKASH</v>
          </cell>
          <cell r="E57" t="str">
            <v>TORANAGALLU</v>
          </cell>
          <cell r="F57" t="str">
            <v>007001001549</v>
          </cell>
          <cell r="G57" t="str">
            <v>ICIC00VSCBL</v>
          </cell>
          <cell r="H57" t="str">
            <v>R</v>
          </cell>
          <cell r="I57">
            <v>415</v>
          </cell>
          <cell r="J57">
            <v>31</v>
          </cell>
          <cell r="K57">
            <v>98</v>
          </cell>
          <cell r="L57">
            <v>12865</v>
          </cell>
          <cell r="M57">
            <v>10167.5</v>
          </cell>
          <cell r="N57">
            <v>0</v>
          </cell>
          <cell r="O57">
            <v>23032.5</v>
          </cell>
          <cell r="P57">
            <v>0</v>
          </cell>
          <cell r="Q57">
            <v>0</v>
          </cell>
          <cell r="R57">
            <v>2900</v>
          </cell>
          <cell r="S57">
            <v>20133</v>
          </cell>
          <cell r="U57">
            <v>2900</v>
          </cell>
          <cell r="V57">
            <v>0</v>
          </cell>
        </row>
        <row r="58">
          <cell r="C58" t="str">
            <v>GENA CHAUDHARI</v>
          </cell>
          <cell r="D58" t="str">
            <v>PNB</v>
          </cell>
          <cell r="E58" t="str">
            <v>TORANAGALLU</v>
          </cell>
          <cell r="F58" t="str">
            <v>4999000400052394</v>
          </cell>
          <cell r="G58" t="str">
            <v>PUNB0499900</v>
          </cell>
          <cell r="H58" t="str">
            <v>R</v>
          </cell>
          <cell r="I58">
            <v>415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</row>
        <row r="59">
          <cell r="C59" t="str">
            <v>GUNJESH KUMAR</v>
          </cell>
          <cell r="D59" t="str">
            <v>PNB</v>
          </cell>
          <cell r="E59" t="str">
            <v>HASPURA</v>
          </cell>
          <cell r="F59" t="str">
            <v>2006000100441073</v>
          </cell>
          <cell r="G59" t="str">
            <v>PUNB0200600</v>
          </cell>
          <cell r="H59" t="str">
            <v>R</v>
          </cell>
          <cell r="I59">
            <v>25000</v>
          </cell>
          <cell r="J59">
            <v>31</v>
          </cell>
          <cell r="K59">
            <v>26</v>
          </cell>
          <cell r="L59">
            <v>25000</v>
          </cell>
          <cell r="M59">
            <v>1747</v>
          </cell>
          <cell r="N59">
            <v>0</v>
          </cell>
          <cell r="O59">
            <v>26747</v>
          </cell>
          <cell r="P59">
            <v>0</v>
          </cell>
          <cell r="Q59">
            <v>0</v>
          </cell>
          <cell r="R59">
            <v>8000</v>
          </cell>
          <cell r="S59">
            <v>18747</v>
          </cell>
          <cell r="U59">
            <v>3000</v>
          </cell>
          <cell r="V59">
            <v>5000</v>
          </cell>
        </row>
        <row r="60">
          <cell r="C60" t="str">
            <v>BRAJABHUSHAN SINGH</v>
          </cell>
          <cell r="E60" t="str">
            <v>PAKRI</v>
          </cell>
          <cell r="F60" t="str">
            <v>6171553648</v>
          </cell>
          <cell r="G60" t="str">
            <v>IDIB000P107</v>
          </cell>
          <cell r="H60" t="str">
            <v>R</v>
          </cell>
          <cell r="I60">
            <v>26000</v>
          </cell>
          <cell r="J60">
            <v>11</v>
          </cell>
          <cell r="K60">
            <v>28</v>
          </cell>
          <cell r="L60">
            <v>9225.8064516129034</v>
          </cell>
          <cell r="M60">
            <v>1957</v>
          </cell>
          <cell r="N60">
            <v>0</v>
          </cell>
          <cell r="O60">
            <v>11182.806451612903</v>
          </cell>
          <cell r="P60">
            <v>0</v>
          </cell>
          <cell r="Q60">
            <v>0</v>
          </cell>
          <cell r="R60">
            <v>1000</v>
          </cell>
          <cell r="S60">
            <v>10183</v>
          </cell>
          <cell r="U60">
            <v>1000</v>
          </cell>
          <cell r="V60">
            <v>0</v>
          </cell>
        </row>
        <row r="61">
          <cell r="C61" t="str">
            <v>RAJIB KUMAR SINGH</v>
          </cell>
          <cell r="D61" t="str">
            <v>SBI</v>
          </cell>
          <cell r="E61" t="str">
            <v>TURKI</v>
          </cell>
          <cell r="F61" t="str">
            <v>39011922185</v>
          </cell>
          <cell r="G61" t="str">
            <v>SBIN0014282</v>
          </cell>
          <cell r="H61" t="str">
            <v>R</v>
          </cell>
          <cell r="I61">
            <v>25000</v>
          </cell>
          <cell r="J61">
            <v>31</v>
          </cell>
          <cell r="K61">
            <v>96</v>
          </cell>
          <cell r="L61">
            <v>25000</v>
          </cell>
          <cell r="M61">
            <v>6452</v>
          </cell>
          <cell r="N61">
            <v>0</v>
          </cell>
          <cell r="O61">
            <v>31452</v>
          </cell>
          <cell r="P61">
            <v>0</v>
          </cell>
          <cell r="Q61">
            <v>0</v>
          </cell>
          <cell r="R61">
            <v>23000</v>
          </cell>
          <cell r="S61">
            <v>8452</v>
          </cell>
          <cell r="U61">
            <v>3000</v>
          </cell>
          <cell r="V61">
            <v>20000</v>
          </cell>
        </row>
        <row r="62">
          <cell r="C62" t="str">
            <v>AMAN KUMAR</v>
          </cell>
          <cell r="D62" t="str">
            <v>AIRTEL</v>
          </cell>
          <cell r="E62" t="str">
            <v>GURGOAN</v>
          </cell>
          <cell r="F62" t="str">
            <v>7707026914</v>
          </cell>
          <cell r="G62" t="str">
            <v>AIRP0000001</v>
          </cell>
          <cell r="H62" t="str">
            <v>R</v>
          </cell>
          <cell r="I62">
            <v>360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</row>
        <row r="63">
          <cell r="C63" t="str">
            <v>MD ASRAR</v>
          </cell>
          <cell r="D63" t="str">
            <v>SBI</v>
          </cell>
          <cell r="E63" t="str">
            <v>TORANAGALLU</v>
          </cell>
          <cell r="F63" t="str">
            <v>36527553621</v>
          </cell>
          <cell r="G63" t="str">
            <v>SBIN0040558</v>
          </cell>
          <cell r="H63" t="str">
            <v>R</v>
          </cell>
          <cell r="I63">
            <v>25000</v>
          </cell>
          <cell r="J63">
            <v>31</v>
          </cell>
          <cell r="K63">
            <v>36</v>
          </cell>
          <cell r="L63">
            <v>25000</v>
          </cell>
          <cell r="M63">
            <v>2419</v>
          </cell>
          <cell r="N63">
            <v>0</v>
          </cell>
          <cell r="O63">
            <v>27419</v>
          </cell>
          <cell r="P63">
            <v>0</v>
          </cell>
          <cell r="Q63">
            <v>0</v>
          </cell>
          <cell r="R63">
            <v>4000</v>
          </cell>
          <cell r="S63">
            <v>23419</v>
          </cell>
          <cell r="U63">
            <v>4000</v>
          </cell>
          <cell r="V63">
            <v>0</v>
          </cell>
        </row>
        <row r="64">
          <cell r="C64" t="str">
            <v>PARSU RAM CHODHRY</v>
          </cell>
          <cell r="D64" t="str">
            <v>AIRTEL</v>
          </cell>
          <cell r="E64" t="str">
            <v>TORANAGALLU</v>
          </cell>
          <cell r="F64" t="str">
            <v>7781923698</v>
          </cell>
          <cell r="G64" t="str">
            <v>AIRP0000001</v>
          </cell>
          <cell r="H64" t="str">
            <v>R</v>
          </cell>
          <cell r="I64">
            <v>395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</row>
        <row r="65">
          <cell r="C65" t="str">
            <v>MUKESH KUMAR</v>
          </cell>
          <cell r="D65" t="str">
            <v>Indian Bank</v>
          </cell>
          <cell r="E65" t="str">
            <v>PAKRI</v>
          </cell>
          <cell r="F65" t="str">
            <v>6510838880</v>
          </cell>
          <cell r="G65" t="str">
            <v>IDIB000P107</v>
          </cell>
          <cell r="H65" t="str">
            <v>R</v>
          </cell>
          <cell r="I65">
            <v>400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</row>
        <row r="66">
          <cell r="C66" t="str">
            <v>DHIRAJ KUMAR</v>
          </cell>
          <cell r="D66" t="str">
            <v>Indian Bank</v>
          </cell>
          <cell r="E66" t="str">
            <v>PAKRI</v>
          </cell>
          <cell r="F66" t="str">
            <v>6442549283</v>
          </cell>
          <cell r="G66" t="str">
            <v>IDIB000P107</v>
          </cell>
          <cell r="H66" t="str">
            <v>R</v>
          </cell>
          <cell r="I66">
            <v>350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</row>
        <row r="67">
          <cell r="C67" t="str">
            <v>SUMAN KUMAR</v>
          </cell>
          <cell r="D67" t="str">
            <v>Indian Bank</v>
          </cell>
          <cell r="E67" t="str">
            <v>PAKRI</v>
          </cell>
          <cell r="F67" t="str">
            <v>6499008746</v>
          </cell>
          <cell r="G67" t="str">
            <v>IDIB000P107</v>
          </cell>
          <cell r="H67" t="str">
            <v>R</v>
          </cell>
          <cell r="I67">
            <v>370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</row>
        <row r="68">
          <cell r="C68" t="str">
            <v>RAHUL KUMAR</v>
          </cell>
          <cell r="H68" t="str">
            <v>R</v>
          </cell>
          <cell r="I68">
            <v>335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U68">
            <v>0</v>
          </cell>
          <cell r="V68">
            <v>0</v>
          </cell>
        </row>
        <row r="69">
          <cell r="C69" t="str">
            <v>UDAYANA NARASING</v>
          </cell>
          <cell r="D69" t="str">
            <v>AIRTEL</v>
          </cell>
          <cell r="E69" t="str">
            <v>TORANAGALLU</v>
          </cell>
          <cell r="F69" t="str">
            <v>8125995863</v>
          </cell>
          <cell r="G69" t="str">
            <v>AIRP0000001</v>
          </cell>
          <cell r="H69" t="str">
            <v>R</v>
          </cell>
          <cell r="I69">
            <v>21000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  <cell r="V69">
            <v>0</v>
          </cell>
        </row>
        <row r="70">
          <cell r="C70" t="str">
            <v>CHANDRASEKHAR NEYYALA</v>
          </cell>
          <cell r="E70" t="str">
            <v>SUSEELA NEYYALA</v>
          </cell>
          <cell r="F70" t="str">
            <v>34727624284</v>
          </cell>
          <cell r="G70" t="str">
            <v>SBIN0008488</v>
          </cell>
          <cell r="H70" t="str">
            <v>R</v>
          </cell>
          <cell r="I70">
            <v>21000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</row>
        <row r="71">
          <cell r="C71" t="str">
            <v>MOHAN</v>
          </cell>
          <cell r="D71" t="str">
            <v>SBI</v>
          </cell>
          <cell r="E71" t="str">
            <v>TORANAGALLU</v>
          </cell>
          <cell r="F71" t="str">
            <v>4999000400052400</v>
          </cell>
          <cell r="G71" t="str">
            <v>PUNB0499900</v>
          </cell>
          <cell r="H71" t="str">
            <v>SAW</v>
          </cell>
          <cell r="I71">
            <v>25500</v>
          </cell>
          <cell r="J71">
            <v>6</v>
          </cell>
          <cell r="K71">
            <v>0</v>
          </cell>
          <cell r="L71">
            <v>4935.4838709677424</v>
          </cell>
          <cell r="M71">
            <v>0</v>
          </cell>
          <cell r="N71">
            <v>0</v>
          </cell>
          <cell r="O71">
            <v>4935.4838709677424</v>
          </cell>
          <cell r="P71">
            <v>0</v>
          </cell>
          <cell r="Q71">
            <v>0</v>
          </cell>
          <cell r="R71">
            <v>0</v>
          </cell>
          <cell r="S71">
            <v>4935</v>
          </cell>
          <cell r="U71">
            <v>0</v>
          </cell>
          <cell r="V71">
            <v>0</v>
          </cell>
        </row>
        <row r="72">
          <cell r="C72" t="str">
            <v>PRIYRANJAN KUMAR</v>
          </cell>
          <cell r="E72" t="str">
            <v>TORANAGALLU</v>
          </cell>
          <cell r="F72" t="str">
            <v>9576358054</v>
          </cell>
          <cell r="G72" t="str">
            <v>AIRP0000001</v>
          </cell>
          <cell r="H72" t="str">
            <v>T/W</v>
          </cell>
          <cell r="I72">
            <v>24000</v>
          </cell>
          <cell r="J72">
            <v>11</v>
          </cell>
          <cell r="K72">
            <v>2</v>
          </cell>
          <cell r="L72">
            <v>8516.1290322580644</v>
          </cell>
          <cell r="M72">
            <v>129</v>
          </cell>
          <cell r="N72">
            <v>0</v>
          </cell>
          <cell r="O72">
            <v>8645.1290322580644</v>
          </cell>
          <cell r="P72">
            <v>0</v>
          </cell>
          <cell r="Q72">
            <v>0</v>
          </cell>
          <cell r="R72">
            <v>1000</v>
          </cell>
          <cell r="S72">
            <v>7645</v>
          </cell>
          <cell r="U72">
            <v>1000</v>
          </cell>
          <cell r="V72">
            <v>0</v>
          </cell>
        </row>
        <row r="73">
          <cell r="C73" t="str">
            <v>RAHUL KANNAUJIYA</v>
          </cell>
          <cell r="E73" t="str">
            <v>PADRAUNA</v>
          </cell>
          <cell r="F73" t="str">
            <v>51008100025149</v>
          </cell>
          <cell r="G73" t="str">
            <v>BARB0PADRAU</v>
          </cell>
          <cell r="H73" t="str">
            <v>T/W</v>
          </cell>
          <cell r="I73">
            <v>350</v>
          </cell>
          <cell r="J73">
            <v>31</v>
          </cell>
          <cell r="K73">
            <v>112</v>
          </cell>
          <cell r="L73">
            <v>10850</v>
          </cell>
          <cell r="M73">
            <v>9800</v>
          </cell>
          <cell r="N73">
            <v>0</v>
          </cell>
          <cell r="O73">
            <v>20650</v>
          </cell>
          <cell r="P73">
            <v>0</v>
          </cell>
          <cell r="Q73">
            <v>0</v>
          </cell>
          <cell r="R73">
            <v>13000</v>
          </cell>
          <cell r="S73">
            <v>7650</v>
          </cell>
          <cell r="U73">
            <v>3000</v>
          </cell>
          <cell r="V73">
            <v>10000</v>
          </cell>
        </row>
        <row r="74">
          <cell r="C74" t="str">
            <v>RUDAL CHAUDHARI</v>
          </cell>
          <cell r="D74" t="str">
            <v>VIKASH</v>
          </cell>
          <cell r="E74" t="str">
            <v>TORANAGALLU</v>
          </cell>
          <cell r="F74" t="str">
            <v>007001007348</v>
          </cell>
          <cell r="G74" t="str">
            <v>ICIC00VSCBL</v>
          </cell>
          <cell r="H74" t="str">
            <v>W</v>
          </cell>
          <cell r="I74">
            <v>460</v>
          </cell>
          <cell r="J74">
            <v>31</v>
          </cell>
          <cell r="K74">
            <v>113</v>
          </cell>
          <cell r="L74">
            <v>14260</v>
          </cell>
          <cell r="M74">
            <v>12995</v>
          </cell>
          <cell r="N74">
            <v>0</v>
          </cell>
          <cell r="O74">
            <v>27255</v>
          </cell>
          <cell r="P74">
            <v>0</v>
          </cell>
          <cell r="Q74">
            <v>0</v>
          </cell>
          <cell r="R74">
            <v>4100</v>
          </cell>
          <cell r="S74">
            <v>23155</v>
          </cell>
          <cell r="U74">
            <v>4100</v>
          </cell>
          <cell r="V74">
            <v>0</v>
          </cell>
        </row>
        <row r="75">
          <cell r="C75" t="str">
            <v>RAKESH PRASAD</v>
          </cell>
          <cell r="D75" t="str">
            <v>PNB</v>
          </cell>
          <cell r="E75" t="str">
            <v>TORANAGALLU</v>
          </cell>
          <cell r="F75" t="str">
            <v>4999000400017504</v>
          </cell>
          <cell r="G75" t="str">
            <v>PUNB0499900</v>
          </cell>
          <cell r="H75" t="str">
            <v>W</v>
          </cell>
          <cell r="I75">
            <v>465</v>
          </cell>
          <cell r="J75">
            <v>21</v>
          </cell>
          <cell r="K75">
            <v>131</v>
          </cell>
          <cell r="L75">
            <v>9765</v>
          </cell>
          <cell r="M75">
            <v>15228.75</v>
          </cell>
          <cell r="N75">
            <v>0</v>
          </cell>
          <cell r="O75">
            <v>24993.75</v>
          </cell>
          <cell r="P75">
            <v>0</v>
          </cell>
          <cell r="Q75">
            <v>0</v>
          </cell>
          <cell r="R75">
            <v>23500</v>
          </cell>
          <cell r="S75">
            <v>1494</v>
          </cell>
          <cell r="U75">
            <v>3500</v>
          </cell>
          <cell r="V75">
            <v>10000</v>
          </cell>
          <cell r="W75">
            <v>10000</v>
          </cell>
        </row>
        <row r="76">
          <cell r="C76" t="str">
            <v>VINOD</v>
          </cell>
          <cell r="D76" t="str">
            <v>VIKASH</v>
          </cell>
          <cell r="E76" t="str">
            <v>TORANAGALLU</v>
          </cell>
          <cell r="F76" t="str">
            <v>007001002699</v>
          </cell>
          <cell r="G76" t="str">
            <v>ICIC00VSCBL</v>
          </cell>
          <cell r="H76" t="str">
            <v>W</v>
          </cell>
          <cell r="I76">
            <v>25000</v>
          </cell>
          <cell r="J76">
            <v>31</v>
          </cell>
          <cell r="K76">
            <v>3</v>
          </cell>
          <cell r="L76">
            <v>25000</v>
          </cell>
          <cell r="M76">
            <v>202</v>
          </cell>
          <cell r="N76">
            <v>0</v>
          </cell>
          <cell r="O76">
            <v>25202</v>
          </cell>
          <cell r="P76">
            <v>0</v>
          </cell>
          <cell r="Q76">
            <v>0</v>
          </cell>
          <cell r="R76">
            <v>13000</v>
          </cell>
          <cell r="S76">
            <v>12202</v>
          </cell>
          <cell r="U76">
            <v>3000</v>
          </cell>
          <cell r="V76">
            <v>0</v>
          </cell>
          <cell r="W76">
            <v>10000</v>
          </cell>
        </row>
        <row r="77">
          <cell r="C77" t="str">
            <v>MD SAHZAD ANSARI</v>
          </cell>
          <cell r="D77" t="str">
            <v>PNB</v>
          </cell>
          <cell r="E77" t="str">
            <v>PATNA</v>
          </cell>
          <cell r="F77" t="str">
            <v>70260100122968</v>
          </cell>
          <cell r="G77" t="str">
            <v>PUNB0MBGB06</v>
          </cell>
          <cell r="H77" t="str">
            <v>W</v>
          </cell>
          <cell r="I77">
            <v>24250</v>
          </cell>
          <cell r="J77">
            <v>28</v>
          </cell>
          <cell r="K77">
            <v>36</v>
          </cell>
          <cell r="L77">
            <v>21903.225806451614</v>
          </cell>
          <cell r="M77">
            <v>2347</v>
          </cell>
          <cell r="N77">
            <v>1500</v>
          </cell>
          <cell r="O77">
            <v>25750.225806451614</v>
          </cell>
          <cell r="P77">
            <v>0</v>
          </cell>
          <cell r="Q77">
            <v>0</v>
          </cell>
          <cell r="R77">
            <v>11000</v>
          </cell>
          <cell r="S77">
            <v>14750</v>
          </cell>
          <cell r="U77">
            <v>6000</v>
          </cell>
          <cell r="V77">
            <v>5000</v>
          </cell>
        </row>
        <row r="78">
          <cell r="C78" t="str">
            <v>OMPRAKASH YADAY</v>
          </cell>
          <cell r="E78" t="str">
            <v>ZIRADEI</v>
          </cell>
          <cell r="F78" t="str">
            <v>3362101003208</v>
          </cell>
          <cell r="G78" t="str">
            <v>CNRB0003362</v>
          </cell>
          <cell r="H78" t="str">
            <v>W</v>
          </cell>
          <cell r="I78">
            <v>25000</v>
          </cell>
          <cell r="J78">
            <v>31</v>
          </cell>
          <cell r="K78">
            <v>76</v>
          </cell>
          <cell r="L78">
            <v>25000</v>
          </cell>
          <cell r="M78">
            <v>5108</v>
          </cell>
          <cell r="N78">
            <v>0</v>
          </cell>
          <cell r="O78">
            <v>30108</v>
          </cell>
          <cell r="P78">
            <v>0</v>
          </cell>
          <cell r="Q78">
            <v>0</v>
          </cell>
          <cell r="R78">
            <v>3000</v>
          </cell>
          <cell r="S78">
            <v>27108</v>
          </cell>
          <cell r="U78">
            <v>3000</v>
          </cell>
          <cell r="V78">
            <v>0</v>
          </cell>
        </row>
        <row r="79">
          <cell r="C79" t="str">
            <v>SANTOSH KUMAR</v>
          </cell>
          <cell r="D79" t="str">
            <v>VIKASH</v>
          </cell>
          <cell r="E79" t="str">
            <v>TORANAGALLU</v>
          </cell>
          <cell r="F79" t="str">
            <v>007001007349</v>
          </cell>
          <cell r="G79" t="str">
            <v>ICIC00VSCBL</v>
          </cell>
          <cell r="H79" t="str">
            <v>W</v>
          </cell>
          <cell r="I79">
            <v>410</v>
          </cell>
          <cell r="J79">
            <v>31</v>
          </cell>
          <cell r="K79">
            <v>112</v>
          </cell>
          <cell r="L79">
            <v>12710</v>
          </cell>
          <cell r="M79">
            <v>11480</v>
          </cell>
          <cell r="N79">
            <v>0</v>
          </cell>
          <cell r="O79">
            <v>24190</v>
          </cell>
          <cell r="P79">
            <v>0</v>
          </cell>
          <cell r="Q79">
            <v>0</v>
          </cell>
          <cell r="R79">
            <v>4100</v>
          </cell>
          <cell r="S79">
            <v>20090</v>
          </cell>
          <cell r="U79">
            <v>4100</v>
          </cell>
          <cell r="V79">
            <v>0</v>
          </cell>
        </row>
        <row r="80">
          <cell r="C80" t="str">
            <v>DHOBA PRADHAN</v>
          </cell>
          <cell r="E80" t="str">
            <v>JARADA</v>
          </cell>
          <cell r="F80" t="str">
            <v>515410310000169</v>
          </cell>
          <cell r="G80" t="str">
            <v>BKID0005154</v>
          </cell>
          <cell r="H80" t="str">
            <v>W</v>
          </cell>
          <cell r="I80">
            <v>22000</v>
          </cell>
          <cell r="J80">
            <v>27</v>
          </cell>
          <cell r="K80">
            <v>0</v>
          </cell>
          <cell r="L80">
            <v>19161.290322580644</v>
          </cell>
          <cell r="M80">
            <v>0</v>
          </cell>
          <cell r="N80">
            <v>0</v>
          </cell>
          <cell r="O80">
            <v>19161.290322580644</v>
          </cell>
          <cell r="P80">
            <v>0</v>
          </cell>
          <cell r="Q80">
            <v>0</v>
          </cell>
          <cell r="R80">
            <v>18000</v>
          </cell>
          <cell r="S80">
            <v>1161</v>
          </cell>
          <cell r="U80">
            <v>3000</v>
          </cell>
          <cell r="V80">
            <v>15000</v>
          </cell>
        </row>
        <row r="81">
          <cell r="C81" t="str">
            <v>M SAIFUR RAHMAN</v>
          </cell>
          <cell r="D81" t="str">
            <v>PNB</v>
          </cell>
          <cell r="E81" t="str">
            <v>TORANAGALLU</v>
          </cell>
          <cell r="F81" t="str">
            <v>4999000400022852</v>
          </cell>
          <cell r="G81" t="str">
            <v>PUNB0499900</v>
          </cell>
          <cell r="H81" t="str">
            <v>W</v>
          </cell>
          <cell r="I81">
            <v>24000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  <cell r="V81">
            <v>0</v>
          </cell>
        </row>
        <row r="82">
          <cell r="C82" t="str">
            <v>K JAYALAKSHMI</v>
          </cell>
          <cell r="D82" t="str">
            <v>K B</v>
          </cell>
          <cell r="E82" t="str">
            <v>TORANAGALLU</v>
          </cell>
          <cell r="F82" t="str">
            <v>7722500103613401</v>
          </cell>
          <cell r="G82" t="str">
            <v>KARB0000772</v>
          </cell>
          <cell r="H82" t="str">
            <v>COOK</v>
          </cell>
          <cell r="I82">
            <v>10000</v>
          </cell>
          <cell r="J82">
            <v>29</v>
          </cell>
          <cell r="K82">
            <v>0</v>
          </cell>
          <cell r="L82">
            <v>9354.8387096774186</v>
          </cell>
          <cell r="M82">
            <v>0</v>
          </cell>
          <cell r="N82">
            <v>0</v>
          </cell>
          <cell r="O82">
            <v>9354.8387096774186</v>
          </cell>
          <cell r="P82">
            <v>0</v>
          </cell>
          <cell r="Q82">
            <v>0</v>
          </cell>
          <cell r="R82">
            <v>0</v>
          </cell>
          <cell r="S82">
            <v>9355</v>
          </cell>
          <cell r="U82">
            <v>0</v>
          </cell>
          <cell r="V82">
            <v>0</v>
          </cell>
        </row>
        <row r="83">
          <cell r="C83" t="str">
            <v>SYIRAM NAIK</v>
          </cell>
          <cell r="D83" t="str">
            <v>VIKASH</v>
          </cell>
          <cell r="E83" t="str">
            <v>TORANAGALLU</v>
          </cell>
          <cell r="F83" t="str">
            <v>007001001168</v>
          </cell>
          <cell r="G83" t="str">
            <v>ICIC00VSCBL</v>
          </cell>
          <cell r="H83" t="str">
            <v>WM</v>
          </cell>
          <cell r="I83">
            <v>16500</v>
          </cell>
          <cell r="J83">
            <v>36</v>
          </cell>
          <cell r="K83">
            <v>0</v>
          </cell>
          <cell r="L83">
            <v>19161.290322580644</v>
          </cell>
          <cell r="M83">
            <v>0</v>
          </cell>
          <cell r="N83">
            <v>0</v>
          </cell>
          <cell r="O83">
            <v>19161.290322580644</v>
          </cell>
          <cell r="P83">
            <v>0</v>
          </cell>
          <cell r="Q83">
            <v>0</v>
          </cell>
          <cell r="R83">
            <v>0</v>
          </cell>
          <cell r="S83">
            <v>19161</v>
          </cell>
          <cell r="U83">
            <v>0</v>
          </cell>
          <cell r="V83">
            <v>0</v>
          </cell>
        </row>
        <row r="84">
          <cell r="C84" t="str">
            <v>MALLI SUMAN</v>
          </cell>
          <cell r="E84" t="str">
            <v>TORANAGALLU</v>
          </cell>
          <cell r="F84" t="str">
            <v>007001005268</v>
          </cell>
          <cell r="G84" t="str">
            <v>ICIC00VSCBL</v>
          </cell>
          <cell r="H84" t="str">
            <v>H</v>
          </cell>
          <cell r="I84">
            <v>17000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U84">
            <v>0</v>
          </cell>
          <cell r="V84">
            <v>0</v>
          </cell>
        </row>
        <row r="85">
          <cell r="C85" t="str">
            <v>CHANDAN KUMAR YADAV</v>
          </cell>
          <cell r="E85" t="str">
            <v>GUTHNI</v>
          </cell>
          <cell r="F85" t="str">
            <v>20476078908</v>
          </cell>
          <cell r="G85" t="str">
            <v>SBIN0018551</v>
          </cell>
          <cell r="H85" t="str">
            <v>H O</v>
          </cell>
          <cell r="I85">
            <v>29500</v>
          </cell>
          <cell r="J85">
            <v>29</v>
          </cell>
          <cell r="K85">
            <v>56</v>
          </cell>
          <cell r="L85">
            <v>27596.774193548386</v>
          </cell>
          <cell r="M85">
            <v>4441</v>
          </cell>
          <cell r="N85">
            <v>1000</v>
          </cell>
          <cell r="O85">
            <v>33037.774193548386</v>
          </cell>
          <cell r="P85">
            <v>0</v>
          </cell>
          <cell r="Q85">
            <v>0</v>
          </cell>
          <cell r="R85">
            <v>8000</v>
          </cell>
          <cell r="S85">
            <v>25038</v>
          </cell>
          <cell r="U85">
            <v>6000</v>
          </cell>
          <cell r="V85">
            <v>2000</v>
          </cell>
        </row>
        <row r="86">
          <cell r="C86" t="str">
            <v>BAYIRI BEHERA</v>
          </cell>
          <cell r="E86" t="str">
            <v>SOMPETA</v>
          </cell>
          <cell r="F86" t="str">
            <v>30762082609</v>
          </cell>
          <cell r="G86" t="str">
            <v>SBIN0000964</v>
          </cell>
          <cell r="H86" t="str">
            <v>F</v>
          </cell>
          <cell r="I86">
            <v>28000</v>
          </cell>
          <cell r="J86">
            <v>31</v>
          </cell>
          <cell r="K86">
            <v>0</v>
          </cell>
          <cell r="L86">
            <v>28000</v>
          </cell>
          <cell r="M86">
            <v>0</v>
          </cell>
          <cell r="N86">
            <v>0</v>
          </cell>
          <cell r="O86">
            <v>28000</v>
          </cell>
          <cell r="P86">
            <v>0</v>
          </cell>
          <cell r="Q86">
            <v>0</v>
          </cell>
          <cell r="R86">
            <v>8000</v>
          </cell>
          <cell r="S86">
            <v>20000</v>
          </cell>
          <cell r="U86">
            <v>3000</v>
          </cell>
          <cell r="V86">
            <v>5000</v>
          </cell>
        </row>
        <row r="87">
          <cell r="C87" t="str">
            <v>SURENDRA PRADHAN</v>
          </cell>
          <cell r="F87" t="str">
            <v>40355224565</v>
          </cell>
          <cell r="G87" t="str">
            <v>SBIN0013633</v>
          </cell>
          <cell r="H87" t="str">
            <v>R</v>
          </cell>
          <cell r="I87">
            <v>20000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U87">
            <v>0</v>
          </cell>
          <cell r="V87">
            <v>0</v>
          </cell>
        </row>
        <row r="88">
          <cell r="C88" t="str">
            <v>RAUSHAN KUMAR</v>
          </cell>
          <cell r="F88" t="str">
            <v>20260581040</v>
          </cell>
          <cell r="G88" t="str">
            <v>FINO0009002</v>
          </cell>
          <cell r="H88" t="str">
            <v>W</v>
          </cell>
          <cell r="I88">
            <v>410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U88">
            <v>0</v>
          </cell>
          <cell r="V88">
            <v>0</v>
          </cell>
        </row>
        <row r="89">
          <cell r="C89" t="str">
            <v>SHIW</v>
          </cell>
          <cell r="F89" t="str">
            <v>51008100052769</v>
          </cell>
          <cell r="G89" t="str">
            <v>BARB0PADKUS</v>
          </cell>
          <cell r="H89" t="str">
            <v>H</v>
          </cell>
          <cell r="I89">
            <v>300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U89">
            <v>0</v>
          </cell>
          <cell r="V89">
            <v>0</v>
          </cell>
        </row>
        <row r="90">
          <cell r="C90" t="str">
            <v>SATYAM KUMAR</v>
          </cell>
          <cell r="F90" t="str">
            <v>75126461699</v>
          </cell>
          <cell r="G90" t="str">
            <v>BARB0BUPGBX</v>
          </cell>
          <cell r="H90" t="str">
            <v>H</v>
          </cell>
          <cell r="I90">
            <v>300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</row>
        <row r="91">
          <cell r="C91" t="str">
            <v>DHONURJOYOBEHERA PONDORA</v>
          </cell>
          <cell r="F91" t="str">
            <v>32458257415</v>
          </cell>
          <cell r="G91" t="str">
            <v>SBIN0000964</v>
          </cell>
          <cell r="H91" t="str">
            <v>F</v>
          </cell>
          <cell r="I91">
            <v>28000</v>
          </cell>
          <cell r="J91">
            <v>15</v>
          </cell>
          <cell r="K91">
            <v>2</v>
          </cell>
          <cell r="L91">
            <v>13548.387096774193</v>
          </cell>
          <cell r="M91">
            <v>151</v>
          </cell>
          <cell r="N91">
            <v>0</v>
          </cell>
          <cell r="O91">
            <v>13699.387096774193</v>
          </cell>
          <cell r="P91">
            <v>0</v>
          </cell>
          <cell r="Q91">
            <v>0</v>
          </cell>
          <cell r="R91">
            <v>13699</v>
          </cell>
          <cell r="S91">
            <v>0</v>
          </cell>
          <cell r="U91">
            <v>4000</v>
          </cell>
          <cell r="V91">
            <v>5000</v>
          </cell>
          <cell r="W91">
            <v>4699</v>
          </cell>
        </row>
        <row r="92">
          <cell r="C92" t="str">
            <v>AKLESH KUMAR</v>
          </cell>
          <cell r="F92" t="str">
            <v>89580100024128</v>
          </cell>
          <cell r="G92" t="str">
            <v>BARB0VJTORA</v>
          </cell>
          <cell r="H92" t="str">
            <v>FM</v>
          </cell>
          <cell r="I92">
            <v>45000</v>
          </cell>
          <cell r="J92">
            <v>29</v>
          </cell>
          <cell r="K92">
            <v>4</v>
          </cell>
          <cell r="L92">
            <v>42096.774193548386</v>
          </cell>
          <cell r="M92">
            <v>484</v>
          </cell>
          <cell r="N92">
            <v>0</v>
          </cell>
          <cell r="O92">
            <v>42580.774193548386</v>
          </cell>
          <cell r="P92">
            <v>0</v>
          </cell>
          <cell r="Q92">
            <v>0</v>
          </cell>
          <cell r="R92">
            <v>31000</v>
          </cell>
          <cell r="S92">
            <v>11581</v>
          </cell>
          <cell r="U92">
            <v>6000</v>
          </cell>
          <cell r="V92">
            <v>25000</v>
          </cell>
        </row>
        <row r="93">
          <cell r="C93" t="str">
            <v>RAIKA JITTHU</v>
          </cell>
          <cell r="F93" t="str">
            <v>7702992630</v>
          </cell>
          <cell r="G93" t="str">
            <v>AIRP0000001</v>
          </cell>
          <cell r="H93" t="str">
            <v>H</v>
          </cell>
          <cell r="I93">
            <v>17000</v>
          </cell>
          <cell r="J93">
            <v>29</v>
          </cell>
          <cell r="K93">
            <v>0</v>
          </cell>
          <cell r="L93">
            <v>15903.225806451612</v>
          </cell>
          <cell r="M93">
            <v>0</v>
          </cell>
          <cell r="N93">
            <v>0</v>
          </cell>
          <cell r="O93">
            <v>15903.225806451612</v>
          </cell>
          <cell r="P93">
            <v>0</v>
          </cell>
          <cell r="Q93">
            <v>0</v>
          </cell>
          <cell r="R93">
            <v>13000</v>
          </cell>
          <cell r="S93">
            <v>2903</v>
          </cell>
          <cell r="U93">
            <v>3000</v>
          </cell>
          <cell r="V93">
            <v>10000</v>
          </cell>
        </row>
        <row r="94">
          <cell r="C94" t="str">
            <v>RAIKA CHANDANA</v>
          </cell>
          <cell r="F94" t="str">
            <v>8121050568</v>
          </cell>
          <cell r="G94" t="str">
            <v>AIRP0000001</v>
          </cell>
          <cell r="H94" t="str">
            <v>H</v>
          </cell>
          <cell r="I94">
            <v>17000</v>
          </cell>
          <cell r="J94">
            <v>29.5</v>
          </cell>
          <cell r="K94">
            <v>0</v>
          </cell>
          <cell r="L94">
            <v>16177.41935483871</v>
          </cell>
          <cell r="M94">
            <v>0</v>
          </cell>
          <cell r="N94">
            <v>0</v>
          </cell>
          <cell r="O94">
            <v>16177.41935483871</v>
          </cell>
          <cell r="P94">
            <v>0</v>
          </cell>
          <cell r="Q94">
            <v>0</v>
          </cell>
          <cell r="R94">
            <v>13000</v>
          </cell>
          <cell r="S94">
            <v>3177</v>
          </cell>
          <cell r="U94">
            <v>3000</v>
          </cell>
          <cell r="V94">
            <v>0</v>
          </cell>
          <cell r="W94">
            <v>10000</v>
          </cell>
        </row>
        <row r="95">
          <cell r="C95" t="str">
            <v>RAIKA DUDISTI</v>
          </cell>
          <cell r="F95" t="str">
            <v>7396749361</v>
          </cell>
          <cell r="G95" t="str">
            <v>AIRP0000001</v>
          </cell>
          <cell r="H95" t="str">
            <v>H</v>
          </cell>
          <cell r="I95">
            <v>16000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</row>
        <row r="96">
          <cell r="C96" t="str">
            <v>SANTOSH KUMAR SINGH</v>
          </cell>
          <cell r="F96" t="str">
            <v>34715896762</v>
          </cell>
          <cell r="G96" t="str">
            <v>SBIN0002989</v>
          </cell>
          <cell r="H96" t="str">
            <v>K</v>
          </cell>
          <cell r="I96">
            <v>23000</v>
          </cell>
          <cell r="J96">
            <v>10</v>
          </cell>
          <cell r="K96">
            <v>0</v>
          </cell>
          <cell r="L96">
            <v>7419.3548387096771</v>
          </cell>
          <cell r="M96">
            <v>0</v>
          </cell>
          <cell r="N96">
            <v>0</v>
          </cell>
          <cell r="O96">
            <v>7419.3548387096771</v>
          </cell>
          <cell r="P96">
            <v>0</v>
          </cell>
          <cell r="Q96">
            <v>0</v>
          </cell>
          <cell r="R96">
            <v>0</v>
          </cell>
          <cell r="S96">
            <v>7419</v>
          </cell>
          <cell r="U96">
            <v>0</v>
          </cell>
          <cell r="V96">
            <v>0</v>
          </cell>
        </row>
        <row r="97">
          <cell r="C97" t="str">
            <v>KRUSHNA DONDIYA</v>
          </cell>
          <cell r="F97" t="str">
            <v>04310110052143</v>
          </cell>
          <cell r="G97" t="str">
            <v>UCBA0000431</v>
          </cell>
          <cell r="H97" t="str">
            <v>H</v>
          </cell>
          <cell r="I97">
            <v>17000</v>
          </cell>
          <cell r="J97">
            <v>31</v>
          </cell>
          <cell r="K97">
            <v>0</v>
          </cell>
          <cell r="L97">
            <v>17000</v>
          </cell>
          <cell r="M97">
            <v>0</v>
          </cell>
          <cell r="N97">
            <v>0</v>
          </cell>
          <cell r="O97">
            <v>17000</v>
          </cell>
          <cell r="P97">
            <v>0</v>
          </cell>
          <cell r="Q97">
            <v>0</v>
          </cell>
          <cell r="R97">
            <v>14000</v>
          </cell>
          <cell r="S97">
            <v>3000</v>
          </cell>
          <cell r="U97">
            <v>4000</v>
          </cell>
          <cell r="V97">
            <v>0</v>
          </cell>
          <cell r="W97">
            <v>10000</v>
          </cell>
        </row>
        <row r="98">
          <cell r="C98" t="str">
            <v>SUSHANTH KUMAR NAYAK</v>
          </cell>
          <cell r="H98" t="str">
            <v>F</v>
          </cell>
          <cell r="I98">
            <v>30000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</row>
        <row r="99">
          <cell r="C99" t="str">
            <v>UDAYANA BHAVANI SHANKAR</v>
          </cell>
          <cell r="F99" t="str">
            <v>34764200533</v>
          </cell>
          <cell r="G99" t="str">
            <v>SBIN0015307</v>
          </cell>
          <cell r="H99" t="str">
            <v>H</v>
          </cell>
          <cell r="I99">
            <v>17000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</row>
        <row r="100">
          <cell r="C100" t="str">
            <v>RAKESH</v>
          </cell>
          <cell r="H100" t="str">
            <v>W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U100">
            <v>0</v>
          </cell>
          <cell r="V100">
            <v>0</v>
          </cell>
        </row>
        <row r="101">
          <cell r="C101" t="str">
            <v>DHIRAJ KUMAR SINGH</v>
          </cell>
          <cell r="F101" t="str">
            <v>8809314724</v>
          </cell>
          <cell r="G101" t="str">
            <v>AIRP0000001</v>
          </cell>
          <cell r="H101" t="str">
            <v>K</v>
          </cell>
          <cell r="I101">
            <v>23500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U101">
            <v>0</v>
          </cell>
          <cell r="V101">
            <v>0</v>
          </cell>
        </row>
        <row r="102">
          <cell r="C102" t="str">
            <v>ABHISHEK KUMAR HELPER</v>
          </cell>
          <cell r="F102" t="str">
            <v>9525629812</v>
          </cell>
          <cell r="G102" t="str">
            <v>AIRP0000001</v>
          </cell>
          <cell r="H102" t="str">
            <v>H</v>
          </cell>
          <cell r="I102">
            <v>20000</v>
          </cell>
          <cell r="J102">
            <v>31</v>
          </cell>
          <cell r="K102">
            <v>7</v>
          </cell>
          <cell r="L102">
            <v>20000</v>
          </cell>
          <cell r="M102">
            <v>376</v>
          </cell>
          <cell r="N102">
            <v>0</v>
          </cell>
          <cell r="O102">
            <v>20376</v>
          </cell>
          <cell r="P102">
            <v>0</v>
          </cell>
          <cell r="Q102">
            <v>0</v>
          </cell>
          <cell r="R102">
            <v>3000</v>
          </cell>
          <cell r="S102">
            <v>17376</v>
          </cell>
          <cell r="U102">
            <v>3000</v>
          </cell>
          <cell r="V102">
            <v>0</v>
          </cell>
        </row>
        <row r="103">
          <cell r="C103" t="str">
            <v>ANURAG GIRI</v>
          </cell>
          <cell r="F103" t="str">
            <v>16323211213727</v>
          </cell>
          <cell r="G103" t="str">
            <v>UCBA0001632</v>
          </cell>
          <cell r="H103" t="str">
            <v>W</v>
          </cell>
          <cell r="I103">
            <v>20000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U103">
            <v>0</v>
          </cell>
          <cell r="V103">
            <v>0</v>
          </cell>
        </row>
        <row r="104">
          <cell r="C104" t="str">
            <v>MONU KUMAR</v>
          </cell>
          <cell r="F104" t="str">
            <v>7808610062</v>
          </cell>
          <cell r="G104" t="str">
            <v>AIRP0000001</v>
          </cell>
          <cell r="H104" t="str">
            <v>K</v>
          </cell>
          <cell r="I104">
            <v>900</v>
          </cell>
          <cell r="J104">
            <v>31</v>
          </cell>
          <cell r="K104">
            <v>15</v>
          </cell>
          <cell r="L104">
            <v>27900</v>
          </cell>
          <cell r="M104">
            <v>1125</v>
          </cell>
          <cell r="N104">
            <v>0</v>
          </cell>
          <cell r="O104">
            <v>29025</v>
          </cell>
          <cell r="P104">
            <v>0</v>
          </cell>
          <cell r="Q104">
            <v>0</v>
          </cell>
          <cell r="R104">
            <v>13000</v>
          </cell>
          <cell r="S104">
            <v>16025</v>
          </cell>
          <cell r="U104">
            <v>3000</v>
          </cell>
          <cell r="V104">
            <v>10000</v>
          </cell>
        </row>
        <row r="105">
          <cell r="C105" t="str">
            <v>JAGDISH MAHATO</v>
          </cell>
          <cell r="F105" t="str">
            <v>1002281030158009</v>
          </cell>
          <cell r="G105" t="str">
            <v>CBIN0R10001</v>
          </cell>
          <cell r="H105" t="str">
            <v>K</v>
          </cell>
          <cell r="I105">
            <v>900</v>
          </cell>
          <cell r="J105">
            <v>29</v>
          </cell>
          <cell r="K105">
            <v>7</v>
          </cell>
          <cell r="L105">
            <v>26100</v>
          </cell>
          <cell r="M105">
            <v>525</v>
          </cell>
          <cell r="N105">
            <v>0</v>
          </cell>
          <cell r="O105">
            <v>26625</v>
          </cell>
          <cell r="P105">
            <v>0</v>
          </cell>
          <cell r="Q105">
            <v>0</v>
          </cell>
          <cell r="R105">
            <v>8000</v>
          </cell>
          <cell r="S105">
            <v>18625</v>
          </cell>
          <cell r="U105">
            <v>3000</v>
          </cell>
          <cell r="V105">
            <v>5000</v>
          </cell>
        </row>
        <row r="106">
          <cell r="C106" t="str">
            <v>MUNNU KUMAR SINGH</v>
          </cell>
          <cell r="F106" t="str">
            <v>002810284843</v>
          </cell>
          <cell r="G106" t="str">
            <v>IPOS0000001</v>
          </cell>
          <cell r="H106" t="str">
            <v>R</v>
          </cell>
          <cell r="I106">
            <v>1100</v>
          </cell>
          <cell r="J106">
            <v>31</v>
          </cell>
          <cell r="K106">
            <v>2</v>
          </cell>
          <cell r="L106">
            <v>34100</v>
          </cell>
          <cell r="M106">
            <v>183.33333333333334</v>
          </cell>
          <cell r="N106">
            <v>3100</v>
          </cell>
          <cell r="O106">
            <v>37383.333333333336</v>
          </cell>
          <cell r="P106">
            <v>0</v>
          </cell>
          <cell r="Q106">
            <v>0</v>
          </cell>
          <cell r="R106">
            <v>8000</v>
          </cell>
          <cell r="S106">
            <v>29383</v>
          </cell>
          <cell r="U106">
            <v>8000</v>
          </cell>
          <cell r="V106">
            <v>0</v>
          </cell>
        </row>
        <row r="107">
          <cell r="C107" t="str">
            <v>MOHAN KUMAR</v>
          </cell>
          <cell r="F107" t="str">
            <v>9663719283</v>
          </cell>
          <cell r="G107" t="str">
            <v>AIRP0000001</v>
          </cell>
          <cell r="H107" t="str">
            <v>K</v>
          </cell>
          <cell r="I107">
            <v>900</v>
          </cell>
          <cell r="J107">
            <v>26</v>
          </cell>
          <cell r="K107">
            <v>26</v>
          </cell>
          <cell r="L107">
            <v>23400</v>
          </cell>
          <cell r="M107">
            <v>1950</v>
          </cell>
          <cell r="N107">
            <v>0</v>
          </cell>
          <cell r="O107">
            <v>25350</v>
          </cell>
          <cell r="P107">
            <v>0</v>
          </cell>
          <cell r="Q107">
            <v>0</v>
          </cell>
          <cell r="R107">
            <v>17000</v>
          </cell>
          <cell r="S107">
            <v>8350</v>
          </cell>
          <cell r="U107">
            <v>4000</v>
          </cell>
          <cell r="V107">
            <v>5000</v>
          </cell>
          <cell r="W107">
            <v>8000</v>
          </cell>
        </row>
        <row r="108">
          <cell r="C108" t="str">
            <v>PAPPU KUMAR SINGH</v>
          </cell>
          <cell r="F108" t="str">
            <v>7899489295</v>
          </cell>
          <cell r="G108" t="str">
            <v>AIRP0000001</v>
          </cell>
          <cell r="H108" t="str">
            <v>FM</v>
          </cell>
          <cell r="I108">
            <v>1100</v>
          </cell>
          <cell r="J108">
            <v>20.5</v>
          </cell>
          <cell r="K108">
            <v>6</v>
          </cell>
          <cell r="L108">
            <v>22550</v>
          </cell>
          <cell r="M108">
            <v>550</v>
          </cell>
          <cell r="N108">
            <v>2050</v>
          </cell>
          <cell r="O108">
            <v>25150</v>
          </cell>
          <cell r="P108">
            <v>0</v>
          </cell>
          <cell r="Q108">
            <v>0</v>
          </cell>
          <cell r="R108">
            <v>17000</v>
          </cell>
          <cell r="S108">
            <v>8150</v>
          </cell>
          <cell r="U108">
            <v>4000</v>
          </cell>
          <cell r="V108">
            <v>10000</v>
          </cell>
          <cell r="W108">
            <v>3000</v>
          </cell>
        </row>
        <row r="109">
          <cell r="C109" t="str">
            <v>AVINASH SAAH</v>
          </cell>
          <cell r="F109" t="str">
            <v>8483914960</v>
          </cell>
          <cell r="G109" t="str">
            <v>AIRP0000001</v>
          </cell>
          <cell r="H109" t="str">
            <v>K</v>
          </cell>
          <cell r="I109">
            <v>750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</row>
        <row r="110">
          <cell r="C110" t="str">
            <v>BHAGYARATHI PRADHAN</v>
          </cell>
          <cell r="F110" t="str">
            <v>38846356498</v>
          </cell>
          <cell r="G110" t="str">
            <v>SBIN0013633</v>
          </cell>
          <cell r="H110" t="str">
            <v>DRI</v>
          </cell>
          <cell r="I110">
            <v>22000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>
            <v>0</v>
          </cell>
          <cell r="V110">
            <v>0</v>
          </cell>
        </row>
        <row r="111">
          <cell r="C111" t="str">
            <v>JAYASEN GOUDA</v>
          </cell>
          <cell r="F111" t="str">
            <v>30723600628</v>
          </cell>
          <cell r="G111" t="str">
            <v>SBIN0010911</v>
          </cell>
          <cell r="H111" t="str">
            <v>F</v>
          </cell>
          <cell r="I111">
            <v>1300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</row>
        <row r="112">
          <cell r="C112" t="str">
            <v>NARSINGH DAKUA</v>
          </cell>
          <cell r="F112" t="str">
            <v>0394101033094</v>
          </cell>
          <cell r="G112" t="str">
            <v>CNRB0000394</v>
          </cell>
          <cell r="H112" t="str">
            <v>K</v>
          </cell>
          <cell r="I112">
            <v>1200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</row>
        <row r="113">
          <cell r="C113" t="str">
            <v>RAMACHANDRA GOUDO</v>
          </cell>
          <cell r="F113" t="str">
            <v>33851724770</v>
          </cell>
          <cell r="G113" t="str">
            <v>SBIN0015709</v>
          </cell>
          <cell r="H113" t="str">
            <v>K</v>
          </cell>
          <cell r="I113">
            <v>1100</v>
          </cell>
          <cell r="J113">
            <v>29</v>
          </cell>
          <cell r="K113">
            <v>36</v>
          </cell>
          <cell r="L113">
            <v>31900</v>
          </cell>
          <cell r="M113">
            <v>3300</v>
          </cell>
          <cell r="O113">
            <v>35200</v>
          </cell>
          <cell r="P113">
            <v>0</v>
          </cell>
          <cell r="Q113">
            <v>0</v>
          </cell>
          <cell r="R113">
            <v>15000</v>
          </cell>
          <cell r="S113">
            <v>20200</v>
          </cell>
          <cell r="U113">
            <v>4000</v>
          </cell>
          <cell r="V113">
            <v>11000</v>
          </cell>
        </row>
        <row r="114">
          <cell r="C114" t="str">
            <v>DUKHI GOUDA</v>
          </cell>
          <cell r="F114" t="str">
            <v>43904935177</v>
          </cell>
          <cell r="G114" t="str">
            <v>SBIN0010912</v>
          </cell>
          <cell r="H114" t="str">
            <v>W</v>
          </cell>
          <cell r="I114">
            <v>1200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</row>
        <row r="115">
          <cell r="C115" t="str">
            <v>DHIRAJ SINGH</v>
          </cell>
          <cell r="F115" t="str">
            <v>8873038620</v>
          </cell>
          <cell r="G115" t="str">
            <v>AIRP0000001</v>
          </cell>
          <cell r="H115" t="str">
            <v>R</v>
          </cell>
          <cell r="I115">
            <v>400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</row>
        <row r="116">
          <cell r="C116" t="str">
            <v>LAXMIKANTA BISWAL</v>
          </cell>
          <cell r="F116" t="str">
            <v>5645185168</v>
          </cell>
          <cell r="G116" t="str">
            <v>KKBK0008066</v>
          </cell>
          <cell r="H116" t="str">
            <v>G/C</v>
          </cell>
          <cell r="I116">
            <v>1200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</row>
        <row r="117">
          <cell r="C117" t="str">
            <v>MD FAYAZ ALI</v>
          </cell>
          <cell r="F117" t="str">
            <v>7479427253</v>
          </cell>
          <cell r="G117" t="str">
            <v>AIRP0000001</v>
          </cell>
          <cell r="H117" t="str">
            <v>F</v>
          </cell>
          <cell r="I117">
            <v>1100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</row>
        <row r="118">
          <cell r="C118" t="str">
            <v>SONU SINGH</v>
          </cell>
          <cell r="F118" t="str">
            <v>576510110013205</v>
          </cell>
          <cell r="G118" t="str">
            <v>BKID0005765</v>
          </cell>
          <cell r="I118">
            <v>24000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</row>
        <row r="119">
          <cell r="C119" t="str">
            <v>MONIR ANSARI</v>
          </cell>
          <cell r="D119" t="str">
            <v>PNB</v>
          </cell>
          <cell r="E119" t="str">
            <v>JAPLA</v>
          </cell>
          <cell r="F119" t="str">
            <v>2647001700456725</v>
          </cell>
          <cell r="G119" t="str">
            <v>PUNB0264700</v>
          </cell>
          <cell r="H119" t="str">
            <v>R</v>
          </cell>
          <cell r="I119">
            <v>350</v>
          </cell>
          <cell r="J119">
            <v>31</v>
          </cell>
          <cell r="K119">
            <v>175</v>
          </cell>
          <cell r="L119">
            <v>10850</v>
          </cell>
          <cell r="M119">
            <v>15312.5</v>
          </cell>
          <cell r="N119">
            <v>0</v>
          </cell>
          <cell r="O119">
            <v>26162.5</v>
          </cell>
          <cell r="P119">
            <v>0</v>
          </cell>
          <cell r="Q119">
            <v>0</v>
          </cell>
          <cell r="R119">
            <v>6000</v>
          </cell>
          <cell r="S119">
            <v>20163</v>
          </cell>
          <cell r="U119">
            <v>4000</v>
          </cell>
          <cell r="V119">
            <v>2000</v>
          </cell>
        </row>
        <row r="120">
          <cell r="C120" t="str">
            <v>Rakesh Kumar Singh</v>
          </cell>
          <cell r="F120" t="str">
            <v>1080791030064034</v>
          </cell>
          <cell r="G120" t="str">
            <v>PUNB0MBGB06</v>
          </cell>
          <cell r="H120" t="str">
            <v>K</v>
          </cell>
          <cell r="I120">
            <v>800</v>
          </cell>
          <cell r="J120">
            <v>8</v>
          </cell>
          <cell r="K120">
            <v>12</v>
          </cell>
          <cell r="L120">
            <v>6400</v>
          </cell>
          <cell r="M120">
            <v>800</v>
          </cell>
          <cell r="N120">
            <v>0</v>
          </cell>
          <cell r="O120">
            <v>7200</v>
          </cell>
          <cell r="P120">
            <v>0</v>
          </cell>
          <cell r="Q120">
            <v>0</v>
          </cell>
          <cell r="R120">
            <v>0</v>
          </cell>
          <cell r="S120">
            <v>7200</v>
          </cell>
          <cell r="U120">
            <v>0</v>
          </cell>
          <cell r="V120">
            <v>0</v>
          </cell>
        </row>
        <row r="121">
          <cell r="C121" t="str">
            <v>TURAKA VYKUNTA RAO</v>
          </cell>
          <cell r="F121" t="str">
            <v>38707430962</v>
          </cell>
          <cell r="G121" t="str">
            <v>SBIN0015709</v>
          </cell>
          <cell r="H121" t="str">
            <v>K</v>
          </cell>
          <cell r="I121">
            <v>900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U121">
            <v>0</v>
          </cell>
          <cell r="V121">
            <v>0</v>
          </cell>
        </row>
        <row r="122">
          <cell r="C122" t="str">
            <v>GANAPA JAGADEESH</v>
          </cell>
          <cell r="F122" t="str">
            <v>6281895340</v>
          </cell>
          <cell r="G122" t="str">
            <v>AIRP0000001</v>
          </cell>
          <cell r="H122" t="str">
            <v>H</v>
          </cell>
          <cell r="I122">
            <v>800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</row>
        <row r="123">
          <cell r="C123" t="str">
            <v>BONDADA KUMARA SWAMY</v>
          </cell>
          <cell r="F123" t="str">
            <v>7569049032</v>
          </cell>
          <cell r="G123" t="str">
            <v>AIRP0000001</v>
          </cell>
          <cell r="H123" t="str">
            <v>H</v>
          </cell>
          <cell r="I123">
            <v>800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</row>
        <row r="124">
          <cell r="C124" t="str">
            <v>NARTHU LAKSHMANA RAO</v>
          </cell>
          <cell r="F124" t="str">
            <v>9441363794</v>
          </cell>
          <cell r="G124" t="str">
            <v>AIRP0000001</v>
          </cell>
          <cell r="H124" t="str">
            <v>K</v>
          </cell>
          <cell r="I124">
            <v>900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</row>
        <row r="125">
          <cell r="C125" t="str">
            <v>ROKALLA SYAMSUNDAR</v>
          </cell>
          <cell r="F125" t="str">
            <v>41415841085</v>
          </cell>
          <cell r="G125" t="str">
            <v>SBIN0015709</v>
          </cell>
          <cell r="H125" t="str">
            <v>H</v>
          </cell>
          <cell r="I125">
            <v>17000</v>
          </cell>
          <cell r="J125">
            <v>31</v>
          </cell>
          <cell r="K125">
            <v>0</v>
          </cell>
          <cell r="L125">
            <v>17000</v>
          </cell>
          <cell r="M125">
            <v>0</v>
          </cell>
          <cell r="N125">
            <v>0</v>
          </cell>
          <cell r="O125">
            <v>17000</v>
          </cell>
          <cell r="P125">
            <v>0</v>
          </cell>
          <cell r="Q125">
            <v>0</v>
          </cell>
          <cell r="R125">
            <v>5500</v>
          </cell>
          <cell r="S125">
            <v>11500</v>
          </cell>
          <cell r="U125">
            <v>3500</v>
          </cell>
          <cell r="V125">
            <v>2000</v>
          </cell>
        </row>
        <row r="126">
          <cell r="C126" t="str">
            <v>GIRIDHAR KADUVA</v>
          </cell>
          <cell r="F126" t="str">
            <v>44295800875</v>
          </cell>
          <cell r="G126" t="str">
            <v>SBIN0015709</v>
          </cell>
          <cell r="H126" t="str">
            <v>H</v>
          </cell>
          <cell r="I126">
            <v>17000</v>
          </cell>
          <cell r="J126">
            <v>30.5</v>
          </cell>
          <cell r="K126">
            <v>14</v>
          </cell>
          <cell r="L126">
            <v>16725.806451612902</v>
          </cell>
          <cell r="M126">
            <v>640</v>
          </cell>
          <cell r="N126">
            <v>0</v>
          </cell>
          <cell r="O126">
            <v>17365.806451612902</v>
          </cell>
          <cell r="P126">
            <v>0</v>
          </cell>
          <cell r="Q126">
            <v>0</v>
          </cell>
          <cell r="R126">
            <v>13000</v>
          </cell>
          <cell r="S126">
            <v>4366</v>
          </cell>
          <cell r="U126">
            <v>3000</v>
          </cell>
          <cell r="V126">
            <v>0</v>
          </cell>
          <cell r="W126">
            <v>10000</v>
          </cell>
        </row>
        <row r="127">
          <cell r="C127" t="str">
            <v>PANKAJ SINGH</v>
          </cell>
          <cell r="F127" t="str">
            <v>7211001700515451</v>
          </cell>
          <cell r="G127" t="str">
            <v>PUNB0721100</v>
          </cell>
          <cell r="H127" t="str">
            <v>K</v>
          </cell>
          <cell r="I127">
            <v>26000</v>
          </cell>
          <cell r="J127">
            <v>31</v>
          </cell>
          <cell r="K127">
            <v>32</v>
          </cell>
          <cell r="L127">
            <v>26000</v>
          </cell>
          <cell r="M127">
            <v>2237</v>
          </cell>
          <cell r="N127">
            <v>0</v>
          </cell>
          <cell r="O127">
            <v>28237</v>
          </cell>
          <cell r="P127">
            <v>0</v>
          </cell>
          <cell r="Q127">
            <v>0</v>
          </cell>
          <cell r="R127">
            <v>13000</v>
          </cell>
          <cell r="S127">
            <v>15237</v>
          </cell>
          <cell r="U127">
            <v>3000</v>
          </cell>
          <cell r="V127">
            <v>10000</v>
          </cell>
        </row>
        <row r="128">
          <cell r="C128" t="str">
            <v>AMOD SINGH</v>
          </cell>
          <cell r="F128" t="str">
            <v>7870294591</v>
          </cell>
          <cell r="G128" t="str">
            <v>AIRP0000001</v>
          </cell>
          <cell r="H128" t="str">
            <v>K</v>
          </cell>
          <cell r="I128">
            <v>25000</v>
          </cell>
          <cell r="J128">
            <v>30</v>
          </cell>
          <cell r="K128">
            <v>4</v>
          </cell>
          <cell r="L128">
            <v>24193.548387096776</v>
          </cell>
          <cell r="M128">
            <v>269</v>
          </cell>
          <cell r="N128">
            <v>0</v>
          </cell>
          <cell r="O128">
            <v>24462.548387096776</v>
          </cell>
          <cell r="P128">
            <v>0</v>
          </cell>
          <cell r="Q128">
            <v>0</v>
          </cell>
          <cell r="R128">
            <v>8000</v>
          </cell>
          <cell r="S128">
            <v>16463</v>
          </cell>
          <cell r="U128">
            <v>3000</v>
          </cell>
          <cell r="V128">
            <v>5000</v>
          </cell>
        </row>
        <row r="129">
          <cell r="C129" t="str">
            <v>GUDIYA BALARAM SAHU</v>
          </cell>
          <cell r="I129">
            <v>18000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</row>
        <row r="130">
          <cell r="C130" t="str">
            <v>SUSHIL KUMAR SINGH</v>
          </cell>
          <cell r="F130" t="str">
            <v>110092035848</v>
          </cell>
          <cell r="G130" t="str">
            <v>CNRB0002718</v>
          </cell>
          <cell r="H130" t="str">
            <v>W</v>
          </cell>
          <cell r="I130">
            <v>33000</v>
          </cell>
          <cell r="J130">
            <v>14.5</v>
          </cell>
          <cell r="K130">
            <v>0</v>
          </cell>
          <cell r="L130">
            <v>15950</v>
          </cell>
          <cell r="M130">
            <v>0</v>
          </cell>
          <cell r="N130">
            <v>0</v>
          </cell>
          <cell r="O130">
            <v>15950</v>
          </cell>
          <cell r="P130">
            <v>0</v>
          </cell>
          <cell r="Q130">
            <v>0</v>
          </cell>
          <cell r="R130">
            <v>5000</v>
          </cell>
          <cell r="S130">
            <v>10950</v>
          </cell>
          <cell r="U130">
            <v>2000</v>
          </cell>
          <cell r="V130">
            <v>3000</v>
          </cell>
        </row>
        <row r="131">
          <cell r="C131" t="str">
            <v>MUKESH SINH</v>
          </cell>
          <cell r="F131" t="str">
            <v>7404338353</v>
          </cell>
          <cell r="G131" t="str">
            <v>AIRP0000001</v>
          </cell>
          <cell r="H131" t="str">
            <v>K</v>
          </cell>
          <cell r="I131">
            <v>22000</v>
          </cell>
          <cell r="J131">
            <v>27</v>
          </cell>
          <cell r="K131">
            <v>2</v>
          </cell>
          <cell r="L131">
            <v>19161.290322580644</v>
          </cell>
          <cell r="M131">
            <v>118</v>
          </cell>
          <cell r="N131">
            <v>0</v>
          </cell>
          <cell r="O131">
            <v>19279.290322580644</v>
          </cell>
          <cell r="P131">
            <v>0</v>
          </cell>
          <cell r="Q131">
            <v>0</v>
          </cell>
          <cell r="R131">
            <v>11000</v>
          </cell>
          <cell r="S131">
            <v>8279</v>
          </cell>
          <cell r="U131">
            <v>3000</v>
          </cell>
          <cell r="V131">
            <v>0</v>
          </cell>
          <cell r="W131">
            <v>8000</v>
          </cell>
        </row>
        <row r="132">
          <cell r="C132" t="str">
            <v>MOHD MUZAMIL</v>
          </cell>
          <cell r="F132" t="str">
            <v>39137070225</v>
          </cell>
          <cell r="G132" t="str">
            <v>SBIN0017683</v>
          </cell>
          <cell r="H132" t="str">
            <v>R</v>
          </cell>
          <cell r="I132">
            <v>25000</v>
          </cell>
          <cell r="J132">
            <v>30</v>
          </cell>
          <cell r="K132">
            <v>63</v>
          </cell>
          <cell r="L132">
            <v>24193.548387096776</v>
          </cell>
          <cell r="M132">
            <v>4234</v>
          </cell>
          <cell r="N132">
            <v>0</v>
          </cell>
          <cell r="O132">
            <v>28427.548387096776</v>
          </cell>
          <cell r="P132">
            <v>0</v>
          </cell>
          <cell r="Q132">
            <v>0</v>
          </cell>
          <cell r="R132">
            <v>19000</v>
          </cell>
          <cell r="S132">
            <v>9428</v>
          </cell>
          <cell r="U132">
            <v>4000</v>
          </cell>
          <cell r="V132">
            <v>15000</v>
          </cell>
        </row>
        <row r="133">
          <cell r="C133" t="str">
            <v>DALIBANDHU PRADHAN</v>
          </cell>
          <cell r="I133">
            <v>18000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</row>
        <row r="134">
          <cell r="C134" t="str">
            <v>G DIWAKAR</v>
          </cell>
          <cell r="I134">
            <v>800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</row>
        <row r="135">
          <cell r="C135" t="str">
            <v>G DEENABANDHU</v>
          </cell>
          <cell r="I135">
            <v>800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</row>
        <row r="136">
          <cell r="C136" t="str">
            <v>ABHISHEK KUMAR</v>
          </cell>
          <cell r="F136" t="str">
            <v>35523566176</v>
          </cell>
          <cell r="G136" t="str">
            <v>SBIN0008186</v>
          </cell>
          <cell r="H136" t="str">
            <v>H</v>
          </cell>
          <cell r="I136">
            <v>25000</v>
          </cell>
          <cell r="J136">
            <v>31</v>
          </cell>
          <cell r="K136">
            <v>46</v>
          </cell>
          <cell r="L136">
            <v>25000</v>
          </cell>
          <cell r="M136">
            <v>3091</v>
          </cell>
          <cell r="N136">
            <v>0</v>
          </cell>
          <cell r="O136">
            <v>28091</v>
          </cell>
          <cell r="P136">
            <v>0</v>
          </cell>
          <cell r="Q136">
            <v>0</v>
          </cell>
          <cell r="R136">
            <v>13000</v>
          </cell>
          <cell r="S136">
            <v>15091</v>
          </cell>
          <cell r="U136">
            <v>3000</v>
          </cell>
          <cell r="V136">
            <v>10000</v>
          </cell>
        </row>
        <row r="137">
          <cell r="C137" t="str">
            <v>NIRAJ KUMAR</v>
          </cell>
          <cell r="F137" t="str">
            <v>52930100003890</v>
          </cell>
          <cell r="G137" t="str">
            <v>BARB0BALTHI</v>
          </cell>
          <cell r="H137" t="str">
            <v>K</v>
          </cell>
          <cell r="I137">
            <v>25000</v>
          </cell>
          <cell r="J137">
            <v>31</v>
          </cell>
          <cell r="K137">
            <v>46</v>
          </cell>
          <cell r="L137">
            <v>25000</v>
          </cell>
          <cell r="M137">
            <v>3091</v>
          </cell>
          <cell r="N137">
            <v>0</v>
          </cell>
          <cell r="O137">
            <v>28091</v>
          </cell>
          <cell r="P137">
            <v>0</v>
          </cell>
          <cell r="Q137">
            <v>0</v>
          </cell>
          <cell r="R137">
            <v>13000</v>
          </cell>
          <cell r="S137">
            <v>15091</v>
          </cell>
          <cell r="U137">
            <v>3000</v>
          </cell>
          <cell r="V137">
            <v>10000</v>
          </cell>
        </row>
        <row r="138">
          <cell r="C138" t="str">
            <v>ANIRUDH RaY</v>
          </cell>
          <cell r="F138" t="str">
            <v>61089453704</v>
          </cell>
          <cell r="G138" t="str">
            <v>SBIN0011299</v>
          </cell>
          <cell r="H138" t="str">
            <v>K</v>
          </cell>
          <cell r="I138">
            <v>18000</v>
          </cell>
          <cell r="J138">
            <v>31</v>
          </cell>
          <cell r="K138">
            <v>0</v>
          </cell>
          <cell r="L138">
            <v>18000</v>
          </cell>
          <cell r="M138">
            <v>0</v>
          </cell>
          <cell r="N138">
            <v>0</v>
          </cell>
          <cell r="O138">
            <v>18000</v>
          </cell>
          <cell r="P138">
            <v>0</v>
          </cell>
          <cell r="Q138">
            <v>0</v>
          </cell>
          <cell r="R138">
            <v>13000</v>
          </cell>
          <cell r="S138">
            <v>5000</v>
          </cell>
          <cell r="U138">
            <v>3000</v>
          </cell>
          <cell r="V138">
            <v>0</v>
          </cell>
          <cell r="W138">
            <v>10000</v>
          </cell>
        </row>
        <row r="139">
          <cell r="C139" t="str">
            <v>AJAYA KUMAR PRADHAN</v>
          </cell>
          <cell r="I139">
            <v>800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</row>
        <row r="140">
          <cell r="C140" t="str">
            <v>ANSARI ROHAN JAMIL AKHTER</v>
          </cell>
          <cell r="I140">
            <v>20000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</row>
        <row r="141">
          <cell r="C141" t="str">
            <v>RAJAN KUMAR GOND</v>
          </cell>
          <cell r="H141" t="str">
            <v>H O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</row>
        <row r="142">
          <cell r="C142" t="str">
            <v>NITESH KUMAR</v>
          </cell>
          <cell r="H142" t="str">
            <v>K</v>
          </cell>
          <cell r="I142">
            <v>20000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</row>
        <row r="143">
          <cell r="C143" t="str">
            <v>JAYRAM PRADHAN</v>
          </cell>
          <cell r="H143" t="str">
            <v>R</v>
          </cell>
          <cell r="I143">
            <v>1000</v>
          </cell>
          <cell r="J143">
            <v>30</v>
          </cell>
          <cell r="K143">
            <v>6</v>
          </cell>
          <cell r="L143">
            <v>30000</v>
          </cell>
          <cell r="M143">
            <v>500</v>
          </cell>
          <cell r="O143">
            <v>30500</v>
          </cell>
          <cell r="P143">
            <v>0</v>
          </cell>
          <cell r="Q143">
            <v>0</v>
          </cell>
          <cell r="R143">
            <v>30000</v>
          </cell>
          <cell r="S143">
            <v>500</v>
          </cell>
          <cell r="U143">
            <v>5500</v>
          </cell>
          <cell r="V143">
            <v>10000</v>
          </cell>
          <cell r="W143">
            <v>14500</v>
          </cell>
        </row>
        <row r="144">
          <cell r="C144" t="str">
            <v>BINAY PRADHAN</v>
          </cell>
          <cell r="H144" t="str">
            <v>R</v>
          </cell>
          <cell r="I144">
            <v>1000</v>
          </cell>
          <cell r="J144">
            <v>21</v>
          </cell>
          <cell r="K144">
            <v>13</v>
          </cell>
          <cell r="L144">
            <v>21000</v>
          </cell>
          <cell r="M144">
            <v>1083.3333333333333</v>
          </cell>
          <cell r="O144">
            <v>22083.333333333332</v>
          </cell>
          <cell r="P144">
            <v>0</v>
          </cell>
          <cell r="Q144">
            <v>0</v>
          </cell>
          <cell r="R144">
            <v>19000</v>
          </cell>
          <cell r="S144">
            <v>3083</v>
          </cell>
          <cell r="U144">
            <v>4000</v>
          </cell>
          <cell r="V144">
            <v>15000</v>
          </cell>
        </row>
        <row r="145">
          <cell r="C145" t="str">
            <v>NARASINGH PRADHAN</v>
          </cell>
          <cell r="H145" t="str">
            <v>R</v>
          </cell>
          <cell r="I145">
            <v>1000</v>
          </cell>
          <cell r="J145">
            <v>15</v>
          </cell>
          <cell r="K145">
            <v>12</v>
          </cell>
          <cell r="L145">
            <v>15000</v>
          </cell>
          <cell r="M145">
            <v>1000</v>
          </cell>
          <cell r="O145">
            <v>16000</v>
          </cell>
          <cell r="P145">
            <v>0</v>
          </cell>
          <cell r="Q145">
            <v>0</v>
          </cell>
          <cell r="R145">
            <v>8000</v>
          </cell>
          <cell r="S145">
            <v>8000</v>
          </cell>
          <cell r="U145">
            <v>3000</v>
          </cell>
          <cell r="V145">
            <v>5000</v>
          </cell>
        </row>
        <row r="146">
          <cell r="C146" t="str">
            <v>RAKESH SINGH</v>
          </cell>
          <cell r="F146" t="str">
            <v>9122875258</v>
          </cell>
          <cell r="G146" t="str">
            <v>AIRP0000001</v>
          </cell>
          <cell r="H146" t="str">
            <v>H</v>
          </cell>
          <cell r="I146">
            <v>20000</v>
          </cell>
          <cell r="J146">
            <v>8</v>
          </cell>
          <cell r="K146">
            <v>12</v>
          </cell>
          <cell r="L146">
            <v>5161.2903225806449</v>
          </cell>
          <cell r="M146">
            <v>645</v>
          </cell>
          <cell r="N146">
            <v>0</v>
          </cell>
          <cell r="O146">
            <v>5806.2903225806449</v>
          </cell>
          <cell r="P146">
            <v>0</v>
          </cell>
          <cell r="Q146">
            <v>0</v>
          </cell>
          <cell r="R146">
            <v>2000</v>
          </cell>
          <cell r="S146">
            <v>3806</v>
          </cell>
          <cell r="U146">
            <v>2000</v>
          </cell>
          <cell r="V146">
            <v>0</v>
          </cell>
        </row>
        <row r="147">
          <cell r="C147" t="str">
            <v>NIRANJAN SINGH</v>
          </cell>
          <cell r="F147" t="str">
            <v>32593841542</v>
          </cell>
          <cell r="G147" t="str">
            <v>SBIN0014282</v>
          </cell>
          <cell r="H147" t="str">
            <v>H</v>
          </cell>
          <cell r="I147">
            <v>20000</v>
          </cell>
          <cell r="J147">
            <v>8</v>
          </cell>
          <cell r="K147">
            <v>12</v>
          </cell>
          <cell r="L147">
            <v>5161.2903225806449</v>
          </cell>
          <cell r="M147">
            <v>645</v>
          </cell>
          <cell r="N147">
            <v>0</v>
          </cell>
          <cell r="O147">
            <v>5806.2903225806449</v>
          </cell>
          <cell r="P147">
            <v>0</v>
          </cell>
          <cell r="Q147">
            <v>0</v>
          </cell>
          <cell r="R147">
            <v>2000</v>
          </cell>
          <cell r="S147">
            <v>3806</v>
          </cell>
          <cell r="U147">
            <v>2000</v>
          </cell>
          <cell r="V147">
            <v>0</v>
          </cell>
        </row>
        <row r="148">
          <cell r="C148" t="str">
            <v>MALLA RAJESH</v>
          </cell>
          <cell r="I148">
            <v>17000</v>
          </cell>
          <cell r="J148">
            <v>6</v>
          </cell>
          <cell r="L148">
            <v>3290.322580645161</v>
          </cell>
          <cell r="M148">
            <v>0</v>
          </cell>
          <cell r="N148">
            <v>0</v>
          </cell>
          <cell r="O148">
            <v>3290.322580645161</v>
          </cell>
          <cell r="P148">
            <v>0</v>
          </cell>
          <cell r="Q148">
            <v>0</v>
          </cell>
          <cell r="R148">
            <v>1300</v>
          </cell>
          <cell r="S148">
            <v>1990</v>
          </cell>
          <cell r="U148">
            <v>1000</v>
          </cell>
          <cell r="V148">
            <v>300</v>
          </cell>
        </row>
        <row r="149">
          <cell r="C149" t="str">
            <v>SHIVSAFIR PASWAN</v>
          </cell>
          <cell r="I149">
            <v>400</v>
          </cell>
          <cell r="J149">
            <v>2</v>
          </cell>
          <cell r="L149">
            <v>800</v>
          </cell>
          <cell r="M149">
            <v>0</v>
          </cell>
          <cell r="N149">
            <v>0</v>
          </cell>
          <cell r="O149">
            <v>800</v>
          </cell>
          <cell r="P149">
            <v>0</v>
          </cell>
          <cell r="Q149">
            <v>0</v>
          </cell>
          <cell r="R149">
            <v>800</v>
          </cell>
          <cell r="S149">
            <v>0</v>
          </cell>
          <cell r="U149">
            <v>800</v>
          </cell>
          <cell r="V149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7"/>
  <sheetViews>
    <sheetView topLeftCell="B1" workbookViewId="0">
      <selection activeCell="P102" sqref="P102"/>
    </sheetView>
  </sheetViews>
  <sheetFormatPr defaultRowHeight="15"/>
  <cols>
    <col min="1" max="1" width="5.7109375" bestFit="1" customWidth="1"/>
    <col min="2" max="2" width="6" customWidth="1"/>
    <col min="3" max="3" width="32.85546875" bestFit="1" customWidth="1"/>
    <col min="4" max="4" width="11.140625" hidden="1" customWidth="1"/>
    <col min="5" max="5" width="27.28515625" hidden="1" customWidth="1"/>
    <col min="6" max="6" width="17.28515625" hidden="1" customWidth="1"/>
    <col min="7" max="7" width="14.42578125" hidden="1" customWidth="1"/>
    <col min="8" max="8" width="8.140625" bestFit="1" customWidth="1"/>
    <col min="9" max="9" width="6.140625" bestFit="1" customWidth="1"/>
    <col min="10" max="10" width="5.140625" bestFit="1" customWidth="1"/>
    <col min="11" max="11" width="7" bestFit="1" customWidth="1"/>
    <col min="12" max="12" width="12" bestFit="1" customWidth="1"/>
    <col min="13" max="13" width="9.5703125" bestFit="1" customWidth="1"/>
    <col min="14" max="14" width="8.140625" bestFit="1" customWidth="1"/>
    <col min="15" max="15" width="10.5703125" bestFit="1" customWidth="1"/>
    <col min="16" max="16" width="8" bestFit="1" customWidth="1"/>
    <col min="17" max="17" width="5.42578125" bestFit="1" customWidth="1"/>
    <col min="18" max="18" width="11.28515625" bestFit="1" customWidth="1"/>
    <col min="19" max="19" width="16.7109375" bestFit="1" customWidth="1"/>
    <col min="20" max="20" width="5.5703125" customWidth="1"/>
    <col min="21" max="22" width="9.140625" style="2" customWidth="1"/>
    <col min="23" max="24" width="9.14062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4"/>
      <c r="F3" s="4"/>
      <c r="G3" s="4"/>
      <c r="H3" s="3" t="s">
        <v>6</v>
      </c>
      <c r="I3" s="3" t="s">
        <v>7</v>
      </c>
      <c r="J3" s="3" t="s">
        <v>8</v>
      </c>
      <c r="K3" s="3" t="s">
        <v>9</v>
      </c>
      <c r="L3" s="5" t="s">
        <v>10</v>
      </c>
      <c r="M3" s="4"/>
      <c r="N3" s="4"/>
      <c r="O3" s="4"/>
      <c r="P3" s="5" t="s">
        <v>11</v>
      </c>
      <c r="Q3" s="4"/>
      <c r="R3" s="4"/>
      <c r="S3" s="6" t="s">
        <v>12</v>
      </c>
      <c r="T3" s="3" t="s">
        <v>13</v>
      </c>
      <c r="U3" s="2">
        <f>SUBTOTAL(9,U5:U99)</f>
        <v>260500</v>
      </c>
      <c r="V3" s="2">
        <f>SUBTOTAL(9,V5:V99)</f>
        <v>122480</v>
      </c>
      <c r="W3" s="2">
        <f>SUBTOTAL(9,W5:W99)</f>
        <v>16900</v>
      </c>
      <c r="X3" s="2"/>
    </row>
    <row r="4" spans="1:24" ht="30">
      <c r="A4" s="4"/>
      <c r="B4" s="4"/>
      <c r="C4" s="4"/>
      <c r="D4" s="7" t="s">
        <v>14</v>
      </c>
      <c r="E4" s="8" t="s">
        <v>15</v>
      </c>
      <c r="F4" s="7" t="s">
        <v>16</v>
      </c>
      <c r="G4" s="7" t="s">
        <v>17</v>
      </c>
      <c r="H4" s="4"/>
      <c r="I4" s="4"/>
      <c r="J4" s="4"/>
      <c r="K4" s="4"/>
      <c r="L4" s="9" t="s">
        <v>18</v>
      </c>
      <c r="M4" s="10" t="s">
        <v>19</v>
      </c>
      <c r="N4" s="9" t="s">
        <v>20</v>
      </c>
      <c r="O4" s="9" t="s">
        <v>21</v>
      </c>
      <c r="P4" s="9" t="s">
        <v>22</v>
      </c>
      <c r="Q4" s="9" t="s">
        <v>23</v>
      </c>
      <c r="R4" s="9" t="s">
        <v>24</v>
      </c>
      <c r="S4" s="4"/>
      <c r="T4" s="4"/>
    </row>
    <row r="5" spans="1:24">
      <c r="A5" s="11">
        <v>1</v>
      </c>
      <c r="B5" s="11"/>
      <c r="C5" s="11" t="s">
        <v>25</v>
      </c>
      <c r="D5" s="12" t="s">
        <v>26</v>
      </c>
      <c r="E5" s="11" t="s">
        <v>27</v>
      </c>
      <c r="F5" s="11" t="s">
        <v>28</v>
      </c>
      <c r="G5" s="11" t="s">
        <v>29</v>
      </c>
      <c r="H5" s="12" t="s">
        <v>30</v>
      </c>
      <c r="I5" s="11">
        <f>50000+3000+7000+3500</f>
        <v>63500</v>
      </c>
      <c r="J5" s="11">
        <v>30</v>
      </c>
      <c r="K5" s="11">
        <v>0</v>
      </c>
      <c r="L5" s="13">
        <f>I5/30*J5</f>
        <v>63499.999999999993</v>
      </c>
      <c r="M5" s="13">
        <f>ROUND(I5/31/12*1*K5,0)</f>
        <v>0</v>
      </c>
      <c r="N5" s="13">
        <v>0</v>
      </c>
      <c r="O5" s="13">
        <f>SUM(L5:N5)</f>
        <v>63499.999999999993</v>
      </c>
      <c r="P5" s="13">
        <v>0</v>
      </c>
      <c r="Q5" s="13">
        <v>0</v>
      </c>
      <c r="R5" s="13">
        <f>U5+V5-W5</f>
        <v>0</v>
      </c>
      <c r="S5" s="13">
        <f>ROUND(O5-P5-Q5-R5,)</f>
        <v>63500</v>
      </c>
      <c r="T5" s="12"/>
      <c r="U5"/>
      <c r="V5"/>
    </row>
    <row r="6" spans="1:24">
      <c r="A6" s="11">
        <f>+A5+1</f>
        <v>2</v>
      </c>
      <c r="B6" s="11">
        <v>11435</v>
      </c>
      <c r="C6" s="11" t="s">
        <v>31</v>
      </c>
      <c r="D6" s="12" t="s">
        <v>26</v>
      </c>
      <c r="E6" s="11" t="s">
        <v>32</v>
      </c>
      <c r="F6" s="11" t="s">
        <v>33</v>
      </c>
      <c r="G6" s="11" t="s">
        <v>34</v>
      </c>
      <c r="H6" s="12" t="s">
        <v>30</v>
      </c>
      <c r="I6" s="11">
        <f>50000+3000+7000+3500</f>
        <v>63500</v>
      </c>
      <c r="J6" s="11">
        <v>30</v>
      </c>
      <c r="K6" s="11">
        <v>0</v>
      </c>
      <c r="L6" s="13">
        <f>I6/30*J6</f>
        <v>63499.999999999993</v>
      </c>
      <c r="M6" s="13">
        <f>ROUND(I6/31/12*1*K6,0)</f>
        <v>0</v>
      </c>
      <c r="N6" s="13">
        <v>0</v>
      </c>
      <c r="O6" s="13">
        <f>SUM(L6:N6)</f>
        <v>63499.999999999993</v>
      </c>
      <c r="P6" s="13">
        <v>0</v>
      </c>
      <c r="Q6" s="13">
        <v>0</v>
      </c>
      <c r="R6" s="13">
        <f>U6+V6-W6</f>
        <v>0</v>
      </c>
      <c r="S6" s="13">
        <f>ROUND(O6-P6-Q6-R6,)</f>
        <v>63500</v>
      </c>
      <c r="T6" s="12"/>
      <c r="U6"/>
      <c r="V6"/>
    </row>
    <row r="7" spans="1:24">
      <c r="A7" s="11">
        <f>+A6+1</f>
        <v>3</v>
      </c>
      <c r="B7" s="11">
        <v>3</v>
      </c>
      <c r="C7" s="11" t="s">
        <v>35</v>
      </c>
      <c r="D7" s="12" t="s">
        <v>36</v>
      </c>
      <c r="E7" s="11" t="s">
        <v>27</v>
      </c>
      <c r="F7" s="11" t="s">
        <v>37</v>
      </c>
      <c r="G7" s="11" t="s">
        <v>38</v>
      </c>
      <c r="H7" s="11" t="s">
        <v>39</v>
      </c>
      <c r="I7" s="11">
        <f>21900+2000+2000+2000+2000+2000+2500+2500</f>
        <v>36900</v>
      </c>
      <c r="J7" s="11">
        <v>29</v>
      </c>
      <c r="K7" s="11">
        <v>0</v>
      </c>
      <c r="L7" s="13">
        <f>I7/30*J7</f>
        <v>35670</v>
      </c>
      <c r="M7" s="13">
        <f>ROUND(I7/31/12*1*K7,0)</f>
        <v>0</v>
      </c>
      <c r="N7" s="13">
        <f>500+J7*50</f>
        <v>1950</v>
      </c>
      <c r="O7" s="13">
        <f>SUM(L7:N7)</f>
        <v>37620</v>
      </c>
      <c r="P7" s="13">
        <v>1800</v>
      </c>
      <c r="Q7" s="13">
        <v>0</v>
      </c>
      <c r="R7" s="13">
        <f>U7+V7-W7</f>
        <v>6000</v>
      </c>
      <c r="S7" s="13">
        <f>ROUND(O7-P7-Q7-R7,)</f>
        <v>29820</v>
      </c>
      <c r="T7" s="12"/>
      <c r="U7">
        <v>3000</v>
      </c>
      <c r="V7">
        <v>3000</v>
      </c>
    </row>
    <row r="8" spans="1:24">
      <c r="A8" s="11">
        <f>+A7+1</f>
        <v>4</v>
      </c>
      <c r="B8" s="11">
        <v>5</v>
      </c>
      <c r="C8" s="11" t="s">
        <v>40</v>
      </c>
      <c r="D8" s="12" t="s">
        <v>41</v>
      </c>
      <c r="E8" s="11" t="s">
        <v>42</v>
      </c>
      <c r="F8" s="11" t="s">
        <v>43</v>
      </c>
      <c r="G8" s="11" t="s">
        <v>44</v>
      </c>
      <c r="H8" s="12" t="s">
        <v>45</v>
      </c>
      <c r="I8" s="11">
        <f>29500+4000+3000+3000+3000+3000+3500+3500</f>
        <v>52500</v>
      </c>
      <c r="J8" s="11">
        <v>28</v>
      </c>
      <c r="K8" s="11">
        <v>0</v>
      </c>
      <c r="L8" s="13">
        <f>I8/30*J8</f>
        <v>49000</v>
      </c>
      <c r="M8" s="13">
        <f>ROUND(I8/31/12*1*K8,0)</f>
        <v>0</v>
      </c>
      <c r="N8" s="13">
        <f>500+J8*50</f>
        <v>1900</v>
      </c>
      <c r="O8" s="13">
        <f>SUM(L8:N8)</f>
        <v>50900</v>
      </c>
      <c r="P8" s="13">
        <v>1800</v>
      </c>
      <c r="Q8" s="13">
        <v>0</v>
      </c>
      <c r="R8" s="13">
        <f>U8+V8-W8</f>
        <v>0</v>
      </c>
      <c r="S8" s="13">
        <f>ROUND(O8-P8-Q8-R8,)</f>
        <v>49100</v>
      </c>
      <c r="T8" s="12"/>
      <c r="U8">
        <v>0</v>
      </c>
      <c r="V8"/>
    </row>
    <row r="9" spans="1:24">
      <c r="A9" s="11">
        <f>+A8+1</f>
        <v>5</v>
      </c>
      <c r="B9" s="11">
        <v>14</v>
      </c>
      <c r="C9" s="11" t="s">
        <v>46</v>
      </c>
      <c r="D9" s="12" t="s">
        <v>41</v>
      </c>
      <c r="E9" s="11" t="s">
        <v>47</v>
      </c>
      <c r="F9" s="11" t="s">
        <v>48</v>
      </c>
      <c r="G9" s="11" t="s">
        <v>49</v>
      </c>
      <c r="H9" s="11" t="s">
        <v>50</v>
      </c>
      <c r="I9" s="11">
        <f>17000+2000+1500+1500-1000+2000+2250+2500+2500</f>
        <v>30250</v>
      </c>
      <c r="J9" s="11">
        <v>28</v>
      </c>
      <c r="K9" s="11">
        <v>0</v>
      </c>
      <c r="L9" s="13">
        <f>I9/30*J9</f>
        <v>28233.333333333336</v>
      </c>
      <c r="M9" s="13">
        <f>ROUND(I9/31/12*1*K9,0)</f>
        <v>0</v>
      </c>
      <c r="N9" s="13">
        <f>1800+J9*50</f>
        <v>3200</v>
      </c>
      <c r="O9" s="13">
        <f>SUM(L9:N9)</f>
        <v>31433.333333333336</v>
      </c>
      <c r="P9" s="13">
        <v>1797</v>
      </c>
      <c r="Q9" s="13">
        <v>0</v>
      </c>
      <c r="R9" s="13">
        <f>U9+V9-W9</f>
        <v>5000</v>
      </c>
      <c r="S9" s="13">
        <f>ROUND(O9-P9-Q9-R9,)</f>
        <v>24636</v>
      </c>
      <c r="T9" s="14"/>
      <c r="U9">
        <v>3000</v>
      </c>
      <c r="V9">
        <v>2000</v>
      </c>
    </row>
    <row r="10" spans="1:24" ht="15.75">
      <c r="A10" s="11">
        <f>+A9+1</f>
        <v>6</v>
      </c>
      <c r="B10" s="11">
        <v>21</v>
      </c>
      <c r="C10" s="11" t="s">
        <v>51</v>
      </c>
      <c r="D10" s="12" t="s">
        <v>41</v>
      </c>
      <c r="E10" s="12" t="s">
        <v>52</v>
      </c>
      <c r="F10" s="15" t="s">
        <v>53</v>
      </c>
      <c r="G10" s="12" t="s">
        <v>54</v>
      </c>
      <c r="H10" s="11" t="s">
        <v>55</v>
      </c>
      <c r="I10" s="11">
        <f>32500+3000+3000+3000+2500+2000+2500+2500</f>
        <v>51000</v>
      </c>
      <c r="J10" s="12">
        <v>0</v>
      </c>
      <c r="K10" s="11">
        <v>0</v>
      </c>
      <c r="L10" s="13">
        <f>I10/30*J10</f>
        <v>0</v>
      </c>
      <c r="M10" s="13">
        <f>ROUND(I10/31/12*1*K10,0)</f>
        <v>0</v>
      </c>
      <c r="N10" s="13">
        <v>0</v>
      </c>
      <c r="O10" s="13">
        <f>SUM(L10:N10)</f>
        <v>0</v>
      </c>
      <c r="P10" s="13">
        <v>0</v>
      </c>
      <c r="Q10" s="13">
        <v>0</v>
      </c>
      <c r="R10" s="13">
        <f>U10+V10-W10</f>
        <v>0</v>
      </c>
      <c r="S10" s="13">
        <f>ROUND(O10-P10-Q10-R10,)</f>
        <v>0</v>
      </c>
      <c r="T10" s="12"/>
      <c r="U10">
        <v>0</v>
      </c>
      <c r="V10"/>
    </row>
    <row r="11" spans="1:24">
      <c r="A11" s="11">
        <f>+A10+1</f>
        <v>7</v>
      </c>
      <c r="B11" s="11">
        <v>22</v>
      </c>
      <c r="C11" s="11" t="s">
        <v>56</v>
      </c>
      <c r="D11" s="11" t="s">
        <v>41</v>
      </c>
      <c r="E11" s="11" t="s">
        <v>57</v>
      </c>
      <c r="F11" s="11" t="s">
        <v>58</v>
      </c>
      <c r="G11" s="11" t="s">
        <v>59</v>
      </c>
      <c r="H11" s="11" t="s">
        <v>39</v>
      </c>
      <c r="I11" s="11">
        <f>20000+2000+3000+2500+2500+2500+3000+3000</f>
        <v>38500</v>
      </c>
      <c r="J11" s="11">
        <v>18</v>
      </c>
      <c r="K11" s="11">
        <v>0</v>
      </c>
      <c r="L11" s="13">
        <f>I11/30*J11</f>
        <v>23100</v>
      </c>
      <c r="M11" s="13">
        <f>ROUND(I11/31/12*1*K11,0)</f>
        <v>0</v>
      </c>
      <c r="N11" s="13">
        <f>500+J11*50*2</f>
        <v>2300</v>
      </c>
      <c r="O11" s="13">
        <f>SUM(L11:N11)</f>
        <v>25400</v>
      </c>
      <c r="P11" s="13">
        <v>1623</v>
      </c>
      <c r="Q11" s="13">
        <v>0</v>
      </c>
      <c r="R11" s="13">
        <f>U11+V11-W11</f>
        <v>0</v>
      </c>
      <c r="S11" s="13">
        <f>ROUND(O11-P11-Q11-R11,)</f>
        <v>23777</v>
      </c>
      <c r="T11" s="12"/>
      <c r="U11">
        <v>0</v>
      </c>
      <c r="V11"/>
    </row>
    <row r="12" spans="1:24">
      <c r="A12" s="11">
        <f>+A11+1</f>
        <v>8</v>
      </c>
      <c r="B12" s="11">
        <v>30</v>
      </c>
      <c r="C12" s="11" t="s">
        <v>60</v>
      </c>
      <c r="D12" s="12" t="s">
        <v>41</v>
      </c>
      <c r="E12" s="11" t="s">
        <v>27</v>
      </c>
      <c r="F12" s="11" t="s">
        <v>61</v>
      </c>
      <c r="G12" s="11" t="s">
        <v>54</v>
      </c>
      <c r="H12" s="11" t="s">
        <v>39</v>
      </c>
      <c r="I12" s="11">
        <f>23000+4000+1500+3000+3000+2500+2500+3500+3500</f>
        <v>46500</v>
      </c>
      <c r="J12" s="11">
        <v>27</v>
      </c>
      <c r="K12" s="11">
        <v>0</v>
      </c>
      <c r="L12" s="13">
        <f>I12/30*J12</f>
        <v>41850</v>
      </c>
      <c r="M12" s="13">
        <f>ROUND(I12/31/12*1*K12,0)</f>
        <v>0</v>
      </c>
      <c r="N12" s="13">
        <f>4000+J12*50</f>
        <v>5350</v>
      </c>
      <c r="O12" s="13">
        <f>SUM(L12:N12)</f>
        <v>47200</v>
      </c>
      <c r="P12" s="13">
        <v>1800</v>
      </c>
      <c r="Q12" s="13">
        <v>0</v>
      </c>
      <c r="R12" s="13">
        <f>U12+V12-W12</f>
        <v>10000</v>
      </c>
      <c r="S12" s="13">
        <f>ROUND(O12-P12-Q12-R12,)</f>
        <v>35400</v>
      </c>
      <c r="T12" s="12"/>
      <c r="U12">
        <v>10000</v>
      </c>
      <c r="V12"/>
    </row>
    <row r="13" spans="1:24">
      <c r="A13" s="11">
        <f>+A12+1</f>
        <v>9</v>
      </c>
      <c r="B13" s="11">
        <v>33</v>
      </c>
      <c r="C13" s="11" t="s">
        <v>62</v>
      </c>
      <c r="D13" s="11" t="s">
        <v>41</v>
      </c>
      <c r="E13" s="11" t="s">
        <v>57</v>
      </c>
      <c r="F13" s="11" t="s">
        <v>63</v>
      </c>
      <c r="G13" s="11" t="s">
        <v>59</v>
      </c>
      <c r="H13" s="11" t="s">
        <v>64</v>
      </c>
      <c r="I13" s="11">
        <f>14000+1500+2000+1500+1500+1500+1500+250+1750</f>
        <v>25500</v>
      </c>
      <c r="J13" s="11">
        <v>23</v>
      </c>
      <c r="K13" s="11">
        <v>0</v>
      </c>
      <c r="L13" s="13">
        <f>I13/30*J13</f>
        <v>19550</v>
      </c>
      <c r="M13" s="13">
        <f>ROUND(I13/31/12*1*K13,0)</f>
        <v>0</v>
      </c>
      <c r="N13" s="13">
        <f>900+J13*50*2</f>
        <v>3200</v>
      </c>
      <c r="O13" s="13">
        <f>SUM(L13:N13)</f>
        <v>22750</v>
      </c>
      <c r="P13" s="13">
        <v>1466</v>
      </c>
      <c r="Q13" s="13">
        <v>0</v>
      </c>
      <c r="R13" s="13">
        <f>U13+V13-W13</f>
        <v>5000</v>
      </c>
      <c r="S13" s="13">
        <f>ROUND(O13-P13-Q13-R13,)</f>
        <v>16284</v>
      </c>
      <c r="T13" s="14"/>
      <c r="U13">
        <v>1000</v>
      </c>
      <c r="V13">
        <v>4000</v>
      </c>
      <c r="W13">
        <v>0</v>
      </c>
    </row>
    <row r="14" spans="1:24">
      <c r="A14" s="11">
        <f>+A13+1</f>
        <v>10</v>
      </c>
      <c r="B14" s="11">
        <v>36</v>
      </c>
      <c r="C14" s="11" t="s">
        <v>65</v>
      </c>
      <c r="D14" s="12" t="s">
        <v>66</v>
      </c>
      <c r="E14" s="11" t="s">
        <v>27</v>
      </c>
      <c r="F14" s="11" t="s">
        <v>67</v>
      </c>
      <c r="G14" s="11" t="s">
        <v>68</v>
      </c>
      <c r="H14" s="11" t="s">
        <v>69</v>
      </c>
      <c r="I14" s="11">
        <f>20000+1500+1500+1500+1500+2000+2000+2000</f>
        <v>32000</v>
      </c>
      <c r="J14" s="16">
        <v>0</v>
      </c>
      <c r="K14" s="11">
        <v>0</v>
      </c>
      <c r="L14" s="13">
        <f>I14/30*J14</f>
        <v>0</v>
      </c>
      <c r="M14" s="13">
        <f>ROUND(I14/31/12*1*K14,0)</f>
        <v>0</v>
      </c>
      <c r="N14" s="13">
        <v>0</v>
      </c>
      <c r="O14" s="13">
        <f>SUM(L14:N14)</f>
        <v>0</v>
      </c>
      <c r="P14" s="13">
        <v>0</v>
      </c>
      <c r="Q14" s="13">
        <v>0</v>
      </c>
      <c r="R14" s="13">
        <f>U14+V14-W14</f>
        <v>0</v>
      </c>
      <c r="S14" s="13">
        <f>ROUND(O14-P14-Q14-R14,)</f>
        <v>0</v>
      </c>
      <c r="T14" s="14"/>
      <c r="U14">
        <v>0</v>
      </c>
      <c r="V14"/>
    </row>
    <row r="15" spans="1:24">
      <c r="A15" s="11">
        <f>+A14+1</f>
        <v>11</v>
      </c>
      <c r="B15" s="11">
        <v>91</v>
      </c>
      <c r="C15" s="11" t="s">
        <v>70</v>
      </c>
      <c r="D15" s="12" t="s">
        <v>71</v>
      </c>
      <c r="E15" s="11" t="s">
        <v>27</v>
      </c>
      <c r="F15" s="11" t="s">
        <v>72</v>
      </c>
      <c r="G15" s="11" t="s">
        <v>73</v>
      </c>
      <c r="H15" s="11" t="s">
        <v>39</v>
      </c>
      <c r="I15" s="11">
        <f>21800+3000+1000+3000+2500+2000+1500+2500+2500</f>
        <v>39800</v>
      </c>
      <c r="J15" s="11">
        <v>25</v>
      </c>
      <c r="K15" s="11">
        <v>0</v>
      </c>
      <c r="L15" s="13">
        <f>I15/30*J15</f>
        <v>33166.666666666672</v>
      </c>
      <c r="M15" s="13">
        <f>ROUND(I15/31/12*1*K15,0)</f>
        <v>0</v>
      </c>
      <c r="N15" s="13">
        <f>500+J15*50</f>
        <v>1750</v>
      </c>
      <c r="O15" s="13">
        <f>SUM(L15:N15)</f>
        <v>34916.666666666672</v>
      </c>
      <c r="P15" s="13">
        <v>1800</v>
      </c>
      <c r="Q15" s="13">
        <v>0</v>
      </c>
      <c r="R15" s="13">
        <f>U15+V15-W15</f>
        <v>10000</v>
      </c>
      <c r="S15" s="13">
        <f>ROUND(O15-P15-Q15-R15,)</f>
        <v>23117</v>
      </c>
      <c r="T15" s="14"/>
      <c r="U15">
        <v>10000</v>
      </c>
      <c r="V15"/>
    </row>
    <row r="16" spans="1:24">
      <c r="A16" s="11">
        <f>+A15+1</f>
        <v>12</v>
      </c>
      <c r="B16" s="11">
        <v>95</v>
      </c>
      <c r="C16" s="11" t="s">
        <v>74</v>
      </c>
      <c r="D16" s="12" t="s">
        <v>41</v>
      </c>
      <c r="E16" s="11" t="s">
        <v>27</v>
      </c>
      <c r="F16" s="11" t="s">
        <v>75</v>
      </c>
      <c r="G16" s="11" t="s">
        <v>54</v>
      </c>
      <c r="H16" s="11" t="s">
        <v>39</v>
      </c>
      <c r="I16" s="11">
        <f>15500+3500+1500+2000+2500+2500+2500+3000+3000</f>
        <v>36000</v>
      </c>
      <c r="J16" s="11">
        <v>30</v>
      </c>
      <c r="K16" s="11">
        <v>0</v>
      </c>
      <c r="L16" s="13">
        <f>I16/30*J16</f>
        <v>36000</v>
      </c>
      <c r="M16" s="13">
        <f>ROUND(I16/31/12*1*K16,0)</f>
        <v>0</v>
      </c>
      <c r="N16" s="13">
        <f>300+J16*50</f>
        <v>1800</v>
      </c>
      <c r="O16" s="13">
        <f>SUM(L16:N16)</f>
        <v>37800</v>
      </c>
      <c r="P16" s="13">
        <v>1800</v>
      </c>
      <c r="Q16" s="13">
        <v>0</v>
      </c>
      <c r="R16" s="13">
        <f>U16+V16-W16</f>
        <v>5000</v>
      </c>
      <c r="S16" s="13">
        <f>ROUND(O16-P16-Q16-R16,)</f>
        <v>31000</v>
      </c>
      <c r="T16" s="12"/>
      <c r="U16">
        <v>5000</v>
      </c>
      <c r="V16"/>
    </row>
    <row r="17" spans="1:24">
      <c r="A17" s="11">
        <f>+A16+1</f>
        <v>13</v>
      </c>
      <c r="B17" s="11">
        <v>142</v>
      </c>
      <c r="C17" s="11" t="s">
        <v>76</v>
      </c>
      <c r="D17" s="12" t="s">
        <v>66</v>
      </c>
      <c r="E17" s="11" t="s">
        <v>27</v>
      </c>
      <c r="F17" s="11" t="s">
        <v>77</v>
      </c>
      <c r="G17" s="11" t="s">
        <v>68</v>
      </c>
      <c r="H17" s="11" t="s">
        <v>55</v>
      </c>
      <c r="I17" s="11">
        <f>27500+3000+3000+3000+2500+3000+3000+3000</f>
        <v>48000</v>
      </c>
      <c r="J17" s="11">
        <v>30</v>
      </c>
      <c r="K17" s="11">
        <v>0</v>
      </c>
      <c r="L17" s="13">
        <f>I17/30*J17</f>
        <v>48000</v>
      </c>
      <c r="M17" s="13">
        <f>ROUND(I17/31/12*1*K17,0)</f>
        <v>0</v>
      </c>
      <c r="N17" s="13">
        <f>300+J17*50*2</f>
        <v>3300</v>
      </c>
      <c r="O17" s="13">
        <f>SUM(L17:N17)</f>
        <v>51300</v>
      </c>
      <c r="P17" s="13">
        <v>1800</v>
      </c>
      <c r="Q17" s="13">
        <v>0</v>
      </c>
      <c r="R17" s="13">
        <f>U17+V17-W17</f>
        <v>5000</v>
      </c>
      <c r="S17" s="13">
        <f>ROUND(O17-P17-Q17-R17,)</f>
        <v>44500</v>
      </c>
      <c r="T17" s="14"/>
      <c r="U17">
        <v>5000</v>
      </c>
      <c r="V17"/>
    </row>
    <row r="18" spans="1:24">
      <c r="A18" s="11">
        <f>+A17+1</f>
        <v>14</v>
      </c>
      <c r="B18" s="11">
        <v>159</v>
      </c>
      <c r="C18" s="11" t="s">
        <v>78</v>
      </c>
      <c r="D18" s="12" t="s">
        <v>66</v>
      </c>
      <c r="E18" s="11" t="s">
        <v>27</v>
      </c>
      <c r="F18" s="11" t="s">
        <v>79</v>
      </c>
      <c r="G18" s="11" t="s">
        <v>68</v>
      </c>
      <c r="H18" s="11" t="s">
        <v>80</v>
      </c>
      <c r="I18" s="11">
        <f>21000+2000+2500+2000+2500+2500+2500+2500</f>
        <v>37500</v>
      </c>
      <c r="J18" s="11">
        <v>30</v>
      </c>
      <c r="K18" s="11">
        <v>0</v>
      </c>
      <c r="L18" s="13">
        <f>I18/30*J18</f>
        <v>37500</v>
      </c>
      <c r="M18" s="13">
        <f>ROUND(I18/31/12*1*K18,0)</f>
        <v>0</v>
      </c>
      <c r="N18" s="13">
        <f>2500+J18*50</f>
        <v>4000</v>
      </c>
      <c r="O18" s="13">
        <f>SUM(L18:N18)</f>
        <v>41500</v>
      </c>
      <c r="P18" s="13">
        <v>1800</v>
      </c>
      <c r="Q18" s="13">
        <v>0</v>
      </c>
      <c r="R18" s="13">
        <f>U18+V18-W18</f>
        <v>5000</v>
      </c>
      <c r="S18" s="13">
        <f>ROUND(O18-P18-Q18-R18,)</f>
        <v>34700</v>
      </c>
      <c r="T18" s="14"/>
      <c r="U18">
        <f>5200-200</f>
        <v>5000</v>
      </c>
      <c r="V18"/>
    </row>
    <row r="19" spans="1:24">
      <c r="A19" s="11">
        <f>+A18+1</f>
        <v>15</v>
      </c>
      <c r="B19" s="11">
        <v>175</v>
      </c>
      <c r="C19" s="11" t="s">
        <v>81</v>
      </c>
      <c r="D19" s="11"/>
      <c r="E19" s="11" t="s">
        <v>82</v>
      </c>
      <c r="F19" s="11" t="s">
        <v>83</v>
      </c>
      <c r="G19" s="11" t="s">
        <v>84</v>
      </c>
      <c r="H19" s="11" t="s">
        <v>85</v>
      </c>
      <c r="I19" s="11">
        <f>13500+2000+2500+2000+2500+2000+2500+2000+2500</f>
        <v>31500</v>
      </c>
      <c r="J19" s="11">
        <v>28</v>
      </c>
      <c r="K19" s="11">
        <v>0</v>
      </c>
      <c r="L19" s="13">
        <f>I19/30*J19</f>
        <v>29400</v>
      </c>
      <c r="M19" s="13">
        <f>ROUND(I19/31/12*1*K19,0)</f>
        <v>0</v>
      </c>
      <c r="N19" s="13">
        <f>+J19*50*2</f>
        <v>2800</v>
      </c>
      <c r="O19" s="13">
        <f>SUM(L19:N19)</f>
        <v>32200</v>
      </c>
      <c r="P19" s="13">
        <v>1797</v>
      </c>
      <c r="Q19" s="13">
        <v>0</v>
      </c>
      <c r="R19" s="13">
        <v>5000</v>
      </c>
      <c r="S19" s="13">
        <f>ROUND(O19-P19-Q19-R19,)</f>
        <v>25403</v>
      </c>
      <c r="T19" s="17"/>
      <c r="U19">
        <v>9000</v>
      </c>
      <c r="V19"/>
    </row>
    <row r="20" spans="1:24">
      <c r="A20" s="11">
        <f>+A19+1</f>
        <v>16</v>
      </c>
      <c r="B20" s="11">
        <v>213</v>
      </c>
      <c r="C20" s="11" t="s">
        <v>86</v>
      </c>
      <c r="D20" s="12" t="s">
        <v>41</v>
      </c>
      <c r="E20" s="11" t="s">
        <v>87</v>
      </c>
      <c r="F20" s="11" t="s">
        <v>88</v>
      </c>
      <c r="G20" s="11" t="s">
        <v>89</v>
      </c>
      <c r="H20" s="11" t="s">
        <v>90</v>
      </c>
      <c r="I20" s="11">
        <f>17500+2000+3000+2500+2500+2500+3000+3000</f>
        <v>36000</v>
      </c>
      <c r="J20" s="11">
        <v>30</v>
      </c>
      <c r="K20" s="11">
        <v>0</v>
      </c>
      <c r="L20" s="13">
        <f>I20/30*J20</f>
        <v>36000</v>
      </c>
      <c r="M20" s="13">
        <f>ROUND(I20/31/12*1*K20,0)</f>
        <v>0</v>
      </c>
      <c r="N20" s="13">
        <f>500+J20*50</f>
        <v>2000</v>
      </c>
      <c r="O20" s="13">
        <f>SUM(L20:N20)</f>
        <v>38000</v>
      </c>
      <c r="P20" s="13">
        <v>1800</v>
      </c>
      <c r="Q20" s="13">
        <v>0</v>
      </c>
      <c r="R20" s="13">
        <f>U20+V20-W20</f>
        <v>5000</v>
      </c>
      <c r="S20" s="13">
        <f>ROUND(O20-P20-Q20-R20,)</f>
        <v>31200</v>
      </c>
      <c r="T20" s="14"/>
      <c r="U20">
        <v>5000</v>
      </c>
      <c r="V20"/>
    </row>
    <row r="21" spans="1:24">
      <c r="A21" s="11">
        <f>+A20+1</f>
        <v>17</v>
      </c>
      <c r="B21" s="11">
        <v>258</v>
      </c>
      <c r="C21" s="11" t="s">
        <v>91</v>
      </c>
      <c r="D21" s="12" t="s">
        <v>41</v>
      </c>
      <c r="E21" s="11" t="s">
        <v>92</v>
      </c>
      <c r="F21" s="11" t="s">
        <v>93</v>
      </c>
      <c r="G21" s="11" t="s">
        <v>94</v>
      </c>
      <c r="H21" s="11" t="s">
        <v>39</v>
      </c>
      <c r="I21" s="11">
        <f>18000+2000+2500+2500+2500+2500+3000+3000</f>
        <v>36000</v>
      </c>
      <c r="J21" s="11">
        <v>29</v>
      </c>
      <c r="K21" s="11">
        <v>0</v>
      </c>
      <c r="L21" s="13">
        <f>I21/30*J21</f>
        <v>34800</v>
      </c>
      <c r="M21" s="13">
        <f>ROUND(I21/31/12*1*K21,0)</f>
        <v>0</v>
      </c>
      <c r="N21" s="13">
        <f>300+J21*50</f>
        <v>1750</v>
      </c>
      <c r="O21" s="13">
        <f>SUM(L21:N21)</f>
        <v>36550</v>
      </c>
      <c r="P21" s="13">
        <v>1800</v>
      </c>
      <c r="Q21" s="13">
        <v>0</v>
      </c>
      <c r="R21" s="13">
        <f>U21+V21-W21</f>
        <v>5000</v>
      </c>
      <c r="S21" s="13">
        <f>ROUND(O21-P21-Q21-R21,)</f>
        <v>29750</v>
      </c>
      <c r="T21" s="14"/>
      <c r="U21">
        <v>5000</v>
      </c>
      <c r="V21"/>
    </row>
    <row r="22" spans="1:24">
      <c r="A22" s="11">
        <f>+A21+1</f>
        <v>18</v>
      </c>
      <c r="B22" s="11">
        <v>10435</v>
      </c>
      <c r="C22" s="11" t="s">
        <v>95</v>
      </c>
      <c r="D22" s="12" t="s">
        <v>66</v>
      </c>
      <c r="E22" s="11" t="s">
        <v>27</v>
      </c>
      <c r="F22" s="11" t="s">
        <v>96</v>
      </c>
      <c r="G22" s="11" t="s">
        <v>68</v>
      </c>
      <c r="H22" s="11" t="s">
        <v>39</v>
      </c>
      <c r="I22" s="11">
        <f>17500+2000+2000+2000+2000+2000+2000+2000</f>
        <v>31500</v>
      </c>
      <c r="J22" s="11">
        <v>30</v>
      </c>
      <c r="K22" s="11">
        <v>0</v>
      </c>
      <c r="L22" s="13">
        <f>I22/30*J22</f>
        <v>31500</v>
      </c>
      <c r="M22" s="13">
        <f>ROUND(I22/31/12*1*K22,0)</f>
        <v>0</v>
      </c>
      <c r="N22" s="13">
        <f>300+J22*50</f>
        <v>1800</v>
      </c>
      <c r="O22" s="13">
        <f>SUM(L22:N22)</f>
        <v>33300</v>
      </c>
      <c r="P22" s="13">
        <v>1800</v>
      </c>
      <c r="Q22" s="13">
        <v>0</v>
      </c>
      <c r="R22" s="13">
        <f>U22+V22-W22</f>
        <v>5000</v>
      </c>
      <c r="S22" s="13">
        <f>ROUND(O22-P22-Q22-R22,)</f>
        <v>26500</v>
      </c>
      <c r="T22" s="14"/>
      <c r="U22">
        <v>1000</v>
      </c>
      <c r="V22">
        <v>4000</v>
      </c>
    </row>
    <row r="23" spans="1:24">
      <c r="A23" s="11">
        <f>+A22+1</f>
        <v>19</v>
      </c>
      <c r="B23" s="11">
        <v>10442</v>
      </c>
      <c r="C23" s="11" t="s">
        <v>97</v>
      </c>
      <c r="D23" s="12" t="s">
        <v>66</v>
      </c>
      <c r="E23" s="11" t="s">
        <v>27</v>
      </c>
      <c r="F23" s="11" t="s">
        <v>98</v>
      </c>
      <c r="G23" s="11" t="s">
        <v>68</v>
      </c>
      <c r="H23" s="11" t="s">
        <v>99</v>
      </c>
      <c r="I23" s="11">
        <f>17000+1500+2000+1500+2000+1500+2000+2000+2000</f>
        <v>31500</v>
      </c>
      <c r="J23" s="11">
        <v>5</v>
      </c>
      <c r="K23" s="11">
        <v>0</v>
      </c>
      <c r="L23" s="13">
        <f>I23/30*J23</f>
        <v>5250</v>
      </c>
      <c r="M23" s="13">
        <f>ROUND(I23/31/12*1*K23,0)</f>
        <v>0</v>
      </c>
      <c r="N23" s="13">
        <f>1000+900</f>
        <v>1900</v>
      </c>
      <c r="O23" s="13">
        <f>SUM(L23:N23)</f>
        <v>7150</v>
      </c>
      <c r="P23" s="13">
        <v>483</v>
      </c>
      <c r="Q23" s="13">
        <v>0</v>
      </c>
      <c r="R23" s="13">
        <f>U23+V23-W23</f>
        <v>1000</v>
      </c>
      <c r="S23" s="13">
        <f>ROUND(O23-P23-Q23-R23,)</f>
        <v>5667</v>
      </c>
      <c r="T23" s="14"/>
      <c r="U23">
        <v>1000</v>
      </c>
      <c r="V23"/>
    </row>
    <row r="24" spans="1:24">
      <c r="A24" s="11">
        <f>+A23+1</f>
        <v>20</v>
      </c>
      <c r="B24" s="11">
        <v>10483</v>
      </c>
      <c r="C24" s="11" t="s">
        <v>100</v>
      </c>
      <c r="D24" s="11"/>
      <c r="E24" s="11" t="s">
        <v>101</v>
      </c>
      <c r="F24" s="11" t="s">
        <v>102</v>
      </c>
      <c r="G24" s="11" t="s">
        <v>103</v>
      </c>
      <c r="H24" s="11" t="s">
        <v>104</v>
      </c>
      <c r="I24" s="11">
        <f>6000+1000+1000+1000+1000</f>
        <v>10000</v>
      </c>
      <c r="J24" s="11">
        <v>20</v>
      </c>
      <c r="K24" s="11">
        <v>0</v>
      </c>
      <c r="L24" s="13">
        <f>I24/30*J24</f>
        <v>6666.6666666666661</v>
      </c>
      <c r="M24" s="13">
        <f>ROUND(I24/31/12*1*K24,0)</f>
        <v>0</v>
      </c>
      <c r="N24" s="13">
        <v>0</v>
      </c>
      <c r="O24" s="13">
        <f>SUM(L24:N24)</f>
        <v>6666.6666666666661</v>
      </c>
      <c r="P24" s="13">
        <v>771</v>
      </c>
      <c r="Q24" s="13">
        <v>78</v>
      </c>
      <c r="R24" s="13">
        <f>U24+V24-W24</f>
        <v>0</v>
      </c>
      <c r="S24" s="13">
        <f>ROUND(O24-P24-Q24-R24,)</f>
        <v>5818</v>
      </c>
      <c r="T24" s="12"/>
      <c r="U24">
        <v>0</v>
      </c>
      <c r="V24"/>
    </row>
    <row r="25" spans="1:24">
      <c r="A25" s="11">
        <f>+A24+1</f>
        <v>21</v>
      </c>
      <c r="B25" s="11">
        <v>10497</v>
      </c>
      <c r="C25" s="11" t="s">
        <v>105</v>
      </c>
      <c r="D25" s="12" t="s">
        <v>41</v>
      </c>
      <c r="E25" s="11" t="s">
        <v>106</v>
      </c>
      <c r="F25" s="11" t="s">
        <v>107</v>
      </c>
      <c r="G25" s="11" t="s">
        <v>108</v>
      </c>
      <c r="H25" s="11" t="s">
        <v>99</v>
      </c>
      <c r="I25" s="11">
        <f>17000+1500+2500+2000+1500+2000+2000+2000</f>
        <v>30500</v>
      </c>
      <c r="J25" s="12">
        <v>27</v>
      </c>
      <c r="K25" s="11">
        <v>0</v>
      </c>
      <c r="L25" s="13">
        <f>I25/30*J25</f>
        <v>27450</v>
      </c>
      <c r="M25" s="13">
        <f>ROUND(I25/31/12*1*K25,0)</f>
        <v>0</v>
      </c>
      <c r="N25" s="13">
        <f>2500+900</f>
        <v>3400</v>
      </c>
      <c r="O25" s="13">
        <f>SUM(L25:N25)</f>
        <v>30850</v>
      </c>
      <c r="P25" s="13">
        <v>1797</v>
      </c>
      <c r="Q25" s="13">
        <v>0</v>
      </c>
      <c r="R25" s="13">
        <f>U25+V25-W25</f>
        <v>10000</v>
      </c>
      <c r="S25" s="13">
        <f>ROUND(O25-P25-Q25-R25,)</f>
        <v>19053</v>
      </c>
      <c r="T25" s="14"/>
      <c r="U25">
        <v>10000</v>
      </c>
      <c r="V25"/>
    </row>
    <row r="26" spans="1:24">
      <c r="A26" s="11">
        <f>+A25+1</f>
        <v>22</v>
      </c>
      <c r="B26" s="11">
        <v>10660</v>
      </c>
      <c r="C26" s="11" t="s">
        <v>109</v>
      </c>
      <c r="D26" s="12" t="s">
        <v>36</v>
      </c>
      <c r="E26" s="11" t="s">
        <v>27</v>
      </c>
      <c r="F26" s="11" t="s">
        <v>110</v>
      </c>
      <c r="G26" s="11" t="s">
        <v>38</v>
      </c>
      <c r="H26" s="11" t="s">
        <v>99</v>
      </c>
      <c r="I26" s="11">
        <f>16500+1500+1000+1500+1500+1000+2000+2000+1500</f>
        <v>28500</v>
      </c>
      <c r="J26" s="11">
        <v>29</v>
      </c>
      <c r="K26" s="11">
        <v>0</v>
      </c>
      <c r="L26" s="13">
        <f>I26/30*J26</f>
        <v>27550</v>
      </c>
      <c r="M26" s="13">
        <f>ROUND(I26/31/12*1*K26,0)</f>
        <v>0</v>
      </c>
      <c r="N26" s="18">
        <v>900</v>
      </c>
      <c r="O26" s="13">
        <f>SUM(L26:N26)</f>
        <v>28450</v>
      </c>
      <c r="P26" s="13">
        <v>1722</v>
      </c>
      <c r="Q26" s="13">
        <v>0</v>
      </c>
      <c r="R26" s="13">
        <f>U26+V26-W26</f>
        <v>25000</v>
      </c>
      <c r="S26" s="13">
        <f>ROUND(O26-P26-Q26-R26,)</f>
        <v>1728</v>
      </c>
      <c r="T26" s="14"/>
      <c r="U26">
        <v>5000</v>
      </c>
      <c r="V26" s="19">
        <v>20000</v>
      </c>
    </row>
    <row r="27" spans="1:24">
      <c r="A27" s="11">
        <f>+A26+1</f>
        <v>23</v>
      </c>
      <c r="B27" s="11">
        <v>10865</v>
      </c>
      <c r="C27" s="11" t="s">
        <v>111</v>
      </c>
      <c r="D27" s="12" t="s">
        <v>66</v>
      </c>
      <c r="E27" s="11" t="s">
        <v>27</v>
      </c>
      <c r="F27" s="11" t="s">
        <v>112</v>
      </c>
      <c r="G27" s="11" t="s">
        <v>68</v>
      </c>
      <c r="H27" s="11" t="s">
        <v>113</v>
      </c>
      <c r="I27" s="11">
        <f>17000+1000+2000+2000+1500+300+2000+2000+2000</f>
        <v>29800</v>
      </c>
      <c r="J27" s="11">
        <v>30</v>
      </c>
      <c r="K27" s="11">
        <v>0</v>
      </c>
      <c r="L27" s="13">
        <f>I27/30*J27</f>
        <v>29800</v>
      </c>
      <c r="M27" s="13">
        <f>ROUND(I27/31/12*1*K27,0)</f>
        <v>0</v>
      </c>
      <c r="N27" s="13">
        <f>+J27*50*2</f>
        <v>3000</v>
      </c>
      <c r="O27" s="13">
        <f>SUM(L27:N27)</f>
        <v>32800</v>
      </c>
      <c r="P27" s="13">
        <v>1797</v>
      </c>
      <c r="Q27" s="13">
        <v>0</v>
      </c>
      <c r="R27" s="13">
        <f>U27+V27-W27</f>
        <v>25000</v>
      </c>
      <c r="S27" s="13">
        <f>ROUND(O27-P27-Q27-R27,)</f>
        <v>6003</v>
      </c>
      <c r="T27" s="14"/>
      <c r="U27">
        <v>5000</v>
      </c>
      <c r="V27" s="19">
        <v>20000</v>
      </c>
      <c r="X27" s="20"/>
    </row>
    <row r="28" spans="1:24">
      <c r="A28" s="11">
        <f>+A27+1</f>
        <v>24</v>
      </c>
      <c r="B28" s="11">
        <v>10990</v>
      </c>
      <c r="C28" s="11" t="s">
        <v>114</v>
      </c>
      <c r="D28" s="12" t="s">
        <v>66</v>
      </c>
      <c r="E28" s="11" t="s">
        <v>27</v>
      </c>
      <c r="F28" s="11" t="s">
        <v>115</v>
      </c>
      <c r="G28" s="11" t="s">
        <v>68</v>
      </c>
      <c r="H28" s="11" t="s">
        <v>116</v>
      </c>
      <c r="I28" s="11">
        <f>36000+2000+2500+2500+2500+2500+2500</f>
        <v>50500</v>
      </c>
      <c r="J28" s="11">
        <v>27</v>
      </c>
      <c r="K28" s="11">
        <v>0</v>
      </c>
      <c r="L28" s="13">
        <f>I28/30*J28</f>
        <v>45450</v>
      </c>
      <c r="M28" s="13">
        <f>ROUND(I28/31/12*1*K28,0)</f>
        <v>0</v>
      </c>
      <c r="N28" s="13">
        <v>0</v>
      </c>
      <c r="O28" s="13">
        <f>SUM(L28:N28)</f>
        <v>45450</v>
      </c>
      <c r="P28" s="13">
        <v>1800</v>
      </c>
      <c r="Q28" s="13">
        <v>0</v>
      </c>
      <c r="R28" s="13">
        <f>U28+V28-W28</f>
        <v>9000</v>
      </c>
      <c r="S28" s="13">
        <f>ROUND(O28-P28-Q28-R28,)</f>
        <v>34650</v>
      </c>
      <c r="T28" s="12"/>
      <c r="U28">
        <v>5000</v>
      </c>
      <c r="V28">
        <f>4000</f>
        <v>4000</v>
      </c>
    </row>
    <row r="29" spans="1:24">
      <c r="A29" s="11">
        <f>+A28+1</f>
        <v>25</v>
      </c>
      <c r="B29" s="11">
        <v>11145</v>
      </c>
      <c r="C29" s="11" t="s">
        <v>117</v>
      </c>
      <c r="D29" s="12" t="s">
        <v>41</v>
      </c>
      <c r="E29" s="11" t="s">
        <v>101</v>
      </c>
      <c r="F29" s="11" t="s">
        <v>118</v>
      </c>
      <c r="G29" s="11" t="s">
        <v>119</v>
      </c>
      <c r="H29" s="12" t="s">
        <v>64</v>
      </c>
      <c r="I29" s="11">
        <f>15000+1000+1500+1500+1500+1500+250+1750+1000</f>
        <v>25000</v>
      </c>
      <c r="J29" s="11">
        <v>24</v>
      </c>
      <c r="K29" s="11">
        <v>0</v>
      </c>
      <c r="L29" s="13">
        <f>I29/30*J29</f>
        <v>20000</v>
      </c>
      <c r="M29" s="13">
        <f>ROUND(I29/31/12*1*K29,0)</f>
        <v>0</v>
      </c>
      <c r="N29" s="13">
        <f>+J29*50*2</f>
        <v>2400</v>
      </c>
      <c r="O29" s="13">
        <f>SUM(L29:N29)</f>
        <v>22400</v>
      </c>
      <c r="P29" s="13">
        <v>1326</v>
      </c>
      <c r="Q29" s="13">
        <v>0</v>
      </c>
      <c r="R29" s="13">
        <f>U29+V29-W29</f>
        <v>7500</v>
      </c>
      <c r="S29" s="13">
        <f>ROUND(O29-P29-Q29-R29,)</f>
        <v>13574</v>
      </c>
      <c r="T29" s="12"/>
      <c r="U29">
        <v>7500</v>
      </c>
      <c r="V29"/>
    </row>
    <row r="30" spans="1:24">
      <c r="A30" s="11">
        <f>+A29+1</f>
        <v>26</v>
      </c>
      <c r="B30" s="11">
        <v>10540</v>
      </c>
      <c r="C30" s="11" t="s">
        <v>120</v>
      </c>
      <c r="D30" s="12" t="s">
        <v>41</v>
      </c>
      <c r="E30" s="11" t="s">
        <v>27</v>
      </c>
      <c r="F30" s="11" t="s">
        <v>121</v>
      </c>
      <c r="G30" s="11" t="s">
        <v>54</v>
      </c>
      <c r="H30" s="12" t="s">
        <v>122</v>
      </c>
      <c r="I30" s="11">
        <v>7000</v>
      </c>
      <c r="J30" s="16">
        <v>30</v>
      </c>
      <c r="K30" s="11">
        <v>0</v>
      </c>
      <c r="L30" s="13">
        <f>I30/30*J30</f>
        <v>7000</v>
      </c>
      <c r="M30" s="13">
        <f>ROUND(I30/31/12*1*K30,0)</f>
        <v>0</v>
      </c>
      <c r="N30" s="13">
        <v>0</v>
      </c>
      <c r="O30" s="13">
        <f>SUM(L30:N30)</f>
        <v>7000</v>
      </c>
      <c r="P30" s="13">
        <v>0</v>
      </c>
      <c r="Q30" s="13">
        <v>0</v>
      </c>
      <c r="R30" s="13">
        <f>U30+V30-W30</f>
        <v>0</v>
      </c>
      <c r="S30" s="13">
        <f>ROUND(O30-P30-Q30-R30,)</f>
        <v>7000</v>
      </c>
      <c r="T30" s="12"/>
      <c r="U30">
        <v>0</v>
      </c>
      <c r="V30">
        <v>0</v>
      </c>
    </row>
    <row r="31" spans="1:24" s="2" customFormat="1">
      <c r="A31" s="11">
        <f>+A30+1</f>
        <v>27</v>
      </c>
      <c r="B31" s="11">
        <v>11336</v>
      </c>
      <c r="C31" s="11" t="s">
        <v>123</v>
      </c>
      <c r="D31" s="12" t="s">
        <v>41</v>
      </c>
      <c r="E31" s="11" t="s">
        <v>124</v>
      </c>
      <c r="F31" s="11" t="s">
        <v>125</v>
      </c>
      <c r="G31" s="11" t="s">
        <v>126</v>
      </c>
      <c r="H31" s="21" t="s">
        <v>127</v>
      </c>
      <c r="I31" s="11">
        <f>17000+1500+2000+2500+2500</f>
        <v>25500</v>
      </c>
      <c r="J31" s="11">
        <v>25</v>
      </c>
      <c r="K31" s="11">
        <v>0</v>
      </c>
      <c r="L31" s="13">
        <f>I31/30*J31</f>
        <v>21250</v>
      </c>
      <c r="M31" s="13">
        <f>ROUND(I31/31/12*1*K31,0)</f>
        <v>0</v>
      </c>
      <c r="N31" s="13">
        <f>+J31*50*2</f>
        <v>2500</v>
      </c>
      <c r="O31" s="13">
        <f>SUM(L31:N31)</f>
        <v>23750</v>
      </c>
      <c r="P31" s="13">
        <v>1396</v>
      </c>
      <c r="Q31" s="13">
        <v>0</v>
      </c>
      <c r="R31" s="13">
        <f>U31+V31-W31</f>
        <v>5000</v>
      </c>
      <c r="S31" s="13">
        <f>ROUND(O31-P31-Q31-R31,)</f>
        <v>17354</v>
      </c>
      <c r="T31" s="12"/>
      <c r="U31" s="2">
        <v>5000</v>
      </c>
    </row>
    <row r="32" spans="1:24" s="2" customFormat="1">
      <c r="A32" s="11">
        <f>+A31+1</f>
        <v>28</v>
      </c>
      <c r="B32" s="11">
        <v>11680</v>
      </c>
      <c r="C32" s="11" t="s">
        <v>284</v>
      </c>
      <c r="D32" s="26" t="s">
        <v>71</v>
      </c>
      <c r="E32" s="12" t="s">
        <v>27</v>
      </c>
      <c r="F32" s="25" t="s">
        <v>285</v>
      </c>
      <c r="G32" s="12" t="s">
        <v>73</v>
      </c>
      <c r="H32" s="12" t="s">
        <v>286</v>
      </c>
      <c r="I32" s="11">
        <f>9000+500</f>
        <v>9500</v>
      </c>
      <c r="J32" s="11">
        <v>28</v>
      </c>
      <c r="K32" s="11">
        <v>0</v>
      </c>
      <c r="L32" s="13">
        <f>I32/30*J32</f>
        <v>8866.6666666666679</v>
      </c>
      <c r="M32" s="13">
        <f>ROUND(I32/31/12*1*K32,0)</f>
        <v>0</v>
      </c>
      <c r="N32" s="13">
        <v>0</v>
      </c>
      <c r="O32" s="13">
        <f>SUM(L32:N32)</f>
        <v>8866.6666666666679</v>
      </c>
      <c r="P32" s="13">
        <v>0</v>
      </c>
      <c r="Q32" s="13">
        <v>0</v>
      </c>
      <c r="R32" s="13">
        <f>U32+V32-W32</f>
        <v>0</v>
      </c>
      <c r="S32" s="13">
        <f>ROUND(O32-P32-Q32-R32,)</f>
        <v>8867</v>
      </c>
      <c r="T32" s="14"/>
    </row>
    <row r="33" spans="1:23" s="2" customFormat="1">
      <c r="A33" s="11">
        <f t="shared" ref="A33:A92" si="0">+A32+1</f>
        <v>29</v>
      </c>
      <c r="B33" s="11">
        <v>10430</v>
      </c>
      <c r="C33" s="11" t="s">
        <v>128</v>
      </c>
      <c r="D33" s="12" t="s">
        <v>36</v>
      </c>
      <c r="E33" s="11" t="s">
        <v>27</v>
      </c>
      <c r="F33" s="11" t="s">
        <v>129</v>
      </c>
      <c r="G33" s="11" t="s">
        <v>38</v>
      </c>
      <c r="H33" s="11" t="s">
        <v>130</v>
      </c>
      <c r="I33" s="11">
        <f>18000+1500+1500+1500+1500+2000+2000</f>
        <v>28000</v>
      </c>
      <c r="J33" s="11">
        <v>4</v>
      </c>
      <c r="K33" s="11">
        <v>0</v>
      </c>
      <c r="L33" s="13">
        <f>I33/30*J33</f>
        <v>3733.3333333333335</v>
      </c>
      <c r="M33" s="13">
        <f>ROUND(I33/31/12*1*K33,0)</f>
        <v>0</v>
      </c>
      <c r="N33" s="13">
        <v>0</v>
      </c>
      <c r="O33" s="13">
        <f>SUM(L33:N33)</f>
        <v>3733.3333333333335</v>
      </c>
      <c r="P33" s="13">
        <v>0</v>
      </c>
      <c r="Q33" s="13">
        <v>0</v>
      </c>
      <c r="R33" s="13">
        <f>U33+V33-W33</f>
        <v>1000</v>
      </c>
      <c r="S33" s="13">
        <f>ROUND(O33-P33-Q33-R33,)</f>
        <v>2733</v>
      </c>
      <c r="T33" s="12"/>
      <c r="U33" s="2">
        <v>1000</v>
      </c>
    </row>
    <row r="34" spans="1:23" s="2" customFormat="1">
      <c r="A34" s="11">
        <f t="shared" si="0"/>
        <v>30</v>
      </c>
      <c r="B34" s="11">
        <v>10586</v>
      </c>
      <c r="C34" s="11" t="s">
        <v>131</v>
      </c>
      <c r="D34" s="12" t="s">
        <v>41</v>
      </c>
      <c r="E34" s="11" t="s">
        <v>132</v>
      </c>
      <c r="F34" s="11" t="s">
        <v>133</v>
      </c>
      <c r="G34" s="11" t="s">
        <v>134</v>
      </c>
      <c r="H34" s="11" t="s">
        <v>130</v>
      </c>
      <c r="I34" s="11">
        <f>17500+2500+1500+1500+2000+2000</f>
        <v>27000</v>
      </c>
      <c r="J34" s="11">
        <v>30</v>
      </c>
      <c r="K34" s="11">
        <v>0</v>
      </c>
      <c r="L34" s="13">
        <f>I34/30*J34</f>
        <v>27000</v>
      </c>
      <c r="M34" s="13">
        <f>ROUND(I34/31/12*1*K34,0)</f>
        <v>0</v>
      </c>
      <c r="N34" s="13">
        <v>1500</v>
      </c>
      <c r="O34" s="13">
        <f>SUM(L34:N34)</f>
        <v>28500</v>
      </c>
      <c r="P34" s="13">
        <v>0</v>
      </c>
      <c r="Q34" s="13">
        <v>0</v>
      </c>
      <c r="R34" s="13">
        <f>U34+V34-W34</f>
        <v>5000</v>
      </c>
      <c r="S34" s="13">
        <f>ROUND(O34-P34-Q34-R34,)</f>
        <v>23500</v>
      </c>
      <c r="T34" s="12"/>
      <c r="U34" s="2">
        <v>5000</v>
      </c>
    </row>
    <row r="35" spans="1:23" s="2" customFormat="1">
      <c r="A35" s="11">
        <f t="shared" si="0"/>
        <v>31</v>
      </c>
      <c r="B35" s="11">
        <v>10758</v>
      </c>
      <c r="C35" s="11" t="s">
        <v>135</v>
      </c>
      <c r="D35" s="12" t="s">
        <v>41</v>
      </c>
      <c r="E35" s="11" t="s">
        <v>136</v>
      </c>
      <c r="F35" s="11" t="s">
        <v>137</v>
      </c>
      <c r="G35" s="11" t="s">
        <v>138</v>
      </c>
      <c r="H35" s="12" t="s">
        <v>130</v>
      </c>
      <c r="I35" s="11">
        <f>18000+1500+1500+1500+1500+2000+2000</f>
        <v>28000</v>
      </c>
      <c r="J35" s="11">
        <v>9</v>
      </c>
      <c r="K35" s="11">
        <v>0</v>
      </c>
      <c r="L35" s="13">
        <f>I35/30*J35</f>
        <v>8400</v>
      </c>
      <c r="M35" s="13">
        <f>ROUND(I35/31/12*1*K35,0)</f>
        <v>0</v>
      </c>
      <c r="N35" s="22">
        <f>1500+600</f>
        <v>2100</v>
      </c>
      <c r="O35" s="13">
        <f>SUM(L35:N35)</f>
        <v>10500</v>
      </c>
      <c r="P35" s="13">
        <v>0</v>
      </c>
      <c r="Q35" s="13">
        <v>0</v>
      </c>
      <c r="R35" s="13">
        <f>U35+V35-W35</f>
        <v>5000</v>
      </c>
      <c r="S35" s="13">
        <f>ROUND(O35-P35-Q35-R35,)</f>
        <v>5500</v>
      </c>
      <c r="T35" s="12"/>
      <c r="U35" s="2">
        <v>5000</v>
      </c>
    </row>
    <row r="36" spans="1:23" s="2" customFormat="1">
      <c r="A36" s="11">
        <f t="shared" si="0"/>
        <v>32</v>
      </c>
      <c r="B36" s="11">
        <v>10950</v>
      </c>
      <c r="C36" s="11" t="s">
        <v>139</v>
      </c>
      <c r="D36" s="12" t="s">
        <v>66</v>
      </c>
      <c r="E36" s="11" t="s">
        <v>140</v>
      </c>
      <c r="F36" s="11" t="s">
        <v>141</v>
      </c>
      <c r="G36" s="11" t="s">
        <v>142</v>
      </c>
      <c r="H36" s="11" t="s">
        <v>130</v>
      </c>
      <c r="I36" s="11">
        <f>21000+1000+1500+1500+1500+2000+2000</f>
        <v>30500</v>
      </c>
      <c r="J36" s="16">
        <v>0</v>
      </c>
      <c r="K36" s="11">
        <v>0</v>
      </c>
      <c r="L36" s="13">
        <f>I36/30*J36</f>
        <v>0</v>
      </c>
      <c r="M36" s="13">
        <f>ROUND(I36/31/12*1*K36,0)</f>
        <v>0</v>
      </c>
      <c r="N36" s="18">
        <v>0</v>
      </c>
      <c r="O36" s="13">
        <f>SUM(L36:N36)</f>
        <v>0</v>
      </c>
      <c r="P36" s="13">
        <v>0</v>
      </c>
      <c r="Q36" s="13">
        <v>0</v>
      </c>
      <c r="R36" s="13">
        <f>U36+V36-W36</f>
        <v>0</v>
      </c>
      <c r="S36" s="13">
        <f>ROUND(O36-P36-Q36-R36,)</f>
        <v>0</v>
      </c>
      <c r="T36" s="12"/>
    </row>
    <row r="37" spans="1:23" s="2" customFormat="1">
      <c r="A37" s="11">
        <f t="shared" si="0"/>
        <v>33</v>
      </c>
      <c r="B37" s="11">
        <v>11550</v>
      </c>
      <c r="C37" s="11" t="s">
        <v>143</v>
      </c>
      <c r="D37" s="11" t="s">
        <v>41</v>
      </c>
      <c r="E37" s="11" t="s">
        <v>144</v>
      </c>
      <c r="F37" s="11" t="s">
        <v>145</v>
      </c>
      <c r="G37" s="11" t="s">
        <v>146</v>
      </c>
      <c r="H37" s="12" t="s">
        <v>130</v>
      </c>
      <c r="I37" s="11">
        <f>19000+2000+1500</f>
        <v>22500</v>
      </c>
      <c r="J37" s="11">
        <v>0</v>
      </c>
      <c r="K37" s="11">
        <v>0</v>
      </c>
      <c r="L37" s="13">
        <f>I37/30*J37</f>
        <v>0</v>
      </c>
      <c r="M37" s="13">
        <f>ROUND(I37/31/12*1*K37,0)</f>
        <v>0</v>
      </c>
      <c r="N37" s="13">
        <v>0</v>
      </c>
      <c r="O37" s="13">
        <f>SUM(L37:N37)</f>
        <v>0</v>
      </c>
      <c r="P37" s="13">
        <v>0</v>
      </c>
      <c r="Q37" s="13">
        <v>0</v>
      </c>
      <c r="R37" s="13">
        <f>U37+V37-W37</f>
        <v>0</v>
      </c>
      <c r="S37" s="13">
        <f>ROUND(O37-P37-Q37-R37,)</f>
        <v>0</v>
      </c>
      <c r="T37" s="14"/>
    </row>
    <row r="38" spans="1:23" s="2" customFormat="1">
      <c r="A38" s="11">
        <f t="shared" si="0"/>
        <v>34</v>
      </c>
      <c r="B38" s="11">
        <v>11719</v>
      </c>
      <c r="C38" s="11" t="s">
        <v>296</v>
      </c>
      <c r="D38" s="26"/>
      <c r="E38" s="12" t="s">
        <v>136</v>
      </c>
      <c r="F38" s="25" t="s">
        <v>297</v>
      </c>
      <c r="G38" s="12" t="s">
        <v>298</v>
      </c>
      <c r="H38" s="12" t="s">
        <v>130</v>
      </c>
      <c r="I38" s="11">
        <f>25000+2000</f>
        <v>27000</v>
      </c>
      <c r="J38" s="11">
        <v>6</v>
      </c>
      <c r="K38" s="11">
        <v>0</v>
      </c>
      <c r="L38" s="13">
        <f>I38/30*J38</f>
        <v>5400</v>
      </c>
      <c r="M38" s="13">
        <f>ROUND(I38/31/12*1*K38,0)</f>
        <v>0</v>
      </c>
      <c r="N38" s="13">
        <v>0</v>
      </c>
      <c r="O38" s="13">
        <f>SUM(L38:N38)</f>
        <v>5400</v>
      </c>
      <c r="P38" s="13">
        <v>0</v>
      </c>
      <c r="Q38" s="13">
        <v>0</v>
      </c>
      <c r="R38" s="13">
        <f>U38+V38-W38</f>
        <v>1000</v>
      </c>
      <c r="S38" s="13">
        <f>ROUND(O38-P38-Q38-R38,)</f>
        <v>4400</v>
      </c>
      <c r="T38" s="14"/>
      <c r="U38" s="2">
        <v>1000</v>
      </c>
      <c r="W38" s="2">
        <v>0</v>
      </c>
    </row>
    <row r="39" spans="1:23" s="2" customFormat="1">
      <c r="A39" s="11">
        <f t="shared" si="0"/>
        <v>35</v>
      </c>
      <c r="B39" s="11">
        <v>11820</v>
      </c>
      <c r="C39" s="12" t="s">
        <v>305</v>
      </c>
      <c r="D39" s="11"/>
      <c r="E39" s="11"/>
      <c r="F39" s="11"/>
      <c r="G39" s="11"/>
      <c r="H39" s="12" t="s">
        <v>130</v>
      </c>
      <c r="I39" s="14">
        <v>28000</v>
      </c>
      <c r="J39" s="11">
        <v>19</v>
      </c>
      <c r="K39" s="11">
        <v>0</v>
      </c>
      <c r="L39" s="13">
        <f>I39/30*J39</f>
        <v>17733.333333333336</v>
      </c>
      <c r="M39" s="13">
        <f>ROUND(I39/31/12*1*K39,0)</f>
        <v>0</v>
      </c>
      <c r="N39" s="13">
        <v>0</v>
      </c>
      <c r="O39" s="13">
        <f>SUM(L39:N39)</f>
        <v>17733.333333333336</v>
      </c>
      <c r="P39" s="13">
        <v>0</v>
      </c>
      <c r="Q39" s="13">
        <v>0</v>
      </c>
      <c r="R39" s="13">
        <f>U39+V39-W39</f>
        <v>11000</v>
      </c>
      <c r="S39" s="13">
        <f>ROUND(O39-P39-Q39-R39,)</f>
        <v>6733</v>
      </c>
      <c r="T39" s="14"/>
      <c r="U39" s="2">
        <v>3000</v>
      </c>
      <c r="V39" s="19">
        <v>8000</v>
      </c>
    </row>
    <row r="40" spans="1:23" s="2" customFormat="1">
      <c r="A40" s="11">
        <f t="shared" si="0"/>
        <v>36</v>
      </c>
      <c r="B40" s="11">
        <v>11818</v>
      </c>
      <c r="C40" s="11" t="s">
        <v>306</v>
      </c>
      <c r="D40" s="11"/>
      <c r="E40" s="11"/>
      <c r="F40" s="11"/>
      <c r="G40" s="11"/>
      <c r="H40" s="11" t="s">
        <v>80</v>
      </c>
      <c r="I40" s="14">
        <f>37000+8000</f>
        <v>45000</v>
      </c>
      <c r="J40" s="11">
        <v>28</v>
      </c>
      <c r="K40" s="11">
        <v>0</v>
      </c>
      <c r="L40" s="13">
        <f>I40/30*J40</f>
        <v>42000</v>
      </c>
      <c r="M40" s="13">
        <f>ROUND(I40/31/12*1*K40,0)</f>
        <v>0</v>
      </c>
      <c r="N40" s="13">
        <v>0</v>
      </c>
      <c r="O40" s="13">
        <f>SUM(L40:N40)</f>
        <v>42000</v>
      </c>
      <c r="P40" s="13">
        <v>1800</v>
      </c>
      <c r="Q40" s="13">
        <v>0</v>
      </c>
      <c r="R40" s="13">
        <f>U40+V40-W40</f>
        <v>2000</v>
      </c>
      <c r="S40" s="13">
        <f>ROUND(O40-P40-Q40-R40,)</f>
        <v>38200</v>
      </c>
      <c r="T40" s="14"/>
      <c r="U40" s="2">
        <v>2000</v>
      </c>
    </row>
    <row r="41" spans="1:23" s="2" customFormat="1">
      <c r="A41" s="11">
        <f t="shared" si="0"/>
        <v>37</v>
      </c>
      <c r="B41" s="11">
        <v>16</v>
      </c>
      <c r="C41" s="11" t="s">
        <v>147</v>
      </c>
      <c r="D41" s="12" t="s">
        <v>71</v>
      </c>
      <c r="E41" s="11" t="s">
        <v>27</v>
      </c>
      <c r="F41" s="11" t="s">
        <v>148</v>
      </c>
      <c r="G41" s="11" t="s">
        <v>73</v>
      </c>
      <c r="H41" s="11" t="s">
        <v>149</v>
      </c>
      <c r="I41" s="11">
        <f>310+20+30+20+30+50+40</f>
        <v>500</v>
      </c>
      <c r="J41" s="11">
        <v>21</v>
      </c>
      <c r="K41" s="11">
        <v>35</v>
      </c>
      <c r="L41" s="13">
        <f>I41*J41</f>
        <v>10500</v>
      </c>
      <c r="M41" s="13">
        <f>I41/8*2*K41</f>
        <v>4375</v>
      </c>
      <c r="N41" s="13">
        <v>600</v>
      </c>
      <c r="O41" s="13">
        <f>SUM(L41:N41)</f>
        <v>15475</v>
      </c>
      <c r="P41" s="13">
        <v>1123</v>
      </c>
      <c r="Q41" s="23">
        <v>0</v>
      </c>
      <c r="R41" s="13">
        <f>U41+V41-W41</f>
        <v>5000</v>
      </c>
      <c r="S41" s="13">
        <f>ROUND(O41-P41-Q41-R41,)</f>
        <v>9352</v>
      </c>
      <c r="T41" s="14"/>
      <c r="U41" s="2">
        <v>5000</v>
      </c>
    </row>
    <row r="42" spans="1:23" s="2" customFormat="1">
      <c r="A42" s="11">
        <f t="shared" si="0"/>
        <v>38</v>
      </c>
      <c r="B42" s="11">
        <v>10488</v>
      </c>
      <c r="C42" s="11" t="s">
        <v>150</v>
      </c>
      <c r="D42" s="12" t="s">
        <v>41</v>
      </c>
      <c r="E42" s="11" t="s">
        <v>151</v>
      </c>
      <c r="F42" s="11" t="s">
        <v>152</v>
      </c>
      <c r="G42" s="11" t="s">
        <v>153</v>
      </c>
      <c r="H42" s="11" t="s">
        <v>149</v>
      </c>
      <c r="I42" s="11">
        <f>310+20+30+20+20+20+20</f>
        <v>440</v>
      </c>
      <c r="J42" s="11">
        <v>3</v>
      </c>
      <c r="K42" s="11">
        <v>6</v>
      </c>
      <c r="L42" s="13">
        <f>I42*J42</f>
        <v>1320</v>
      </c>
      <c r="M42" s="13">
        <f>I42/8*2*K42</f>
        <v>660</v>
      </c>
      <c r="N42" s="13">
        <v>0</v>
      </c>
      <c r="O42" s="13">
        <f>SUM(L42:N42)</f>
        <v>1980</v>
      </c>
      <c r="P42" s="13">
        <v>0</v>
      </c>
      <c r="Q42" s="13">
        <v>0</v>
      </c>
      <c r="R42" s="13">
        <f>U42+V42-W42</f>
        <v>0</v>
      </c>
      <c r="S42" s="13">
        <f>ROUND(O42-P42-Q42-R42,)</f>
        <v>1980</v>
      </c>
      <c r="T42" s="14"/>
      <c r="U42" s="2">
        <v>0</v>
      </c>
    </row>
    <row r="43" spans="1:23" s="2" customFormat="1">
      <c r="A43" s="11">
        <f t="shared" si="0"/>
        <v>39</v>
      </c>
      <c r="B43" s="11">
        <v>11618</v>
      </c>
      <c r="C43" s="11" t="s">
        <v>174</v>
      </c>
      <c r="D43" s="12" t="s">
        <v>41</v>
      </c>
      <c r="E43" s="12" t="s">
        <v>175</v>
      </c>
      <c r="F43" s="25" t="s">
        <v>176</v>
      </c>
      <c r="G43" s="12" t="s">
        <v>177</v>
      </c>
      <c r="H43" s="12" t="s">
        <v>149</v>
      </c>
      <c r="I43" s="11">
        <f>16000+2000+1000</f>
        <v>19000</v>
      </c>
      <c r="J43" s="11">
        <v>30</v>
      </c>
      <c r="K43" s="11">
        <v>0</v>
      </c>
      <c r="L43" s="13">
        <f>I43/30*J43</f>
        <v>19000</v>
      </c>
      <c r="M43" s="13">
        <f>ROUND(I43/31/12*1*K43,0)</f>
        <v>0</v>
      </c>
      <c r="N43" s="13">
        <v>0</v>
      </c>
      <c r="O43" s="13">
        <f>SUM(L43:N43)</f>
        <v>19000</v>
      </c>
      <c r="P43" s="13">
        <v>0</v>
      </c>
      <c r="Q43" s="13">
        <v>0</v>
      </c>
      <c r="R43" s="13">
        <f>U43+V43-W43</f>
        <v>5000</v>
      </c>
      <c r="S43" s="13">
        <f>ROUND(O43-P43-Q43-R43,)</f>
        <v>14000</v>
      </c>
      <c r="T43" s="14"/>
      <c r="U43" s="2">
        <v>5000</v>
      </c>
    </row>
    <row r="44" spans="1:23" s="2" customFormat="1">
      <c r="A44" s="11">
        <f t="shared" si="0"/>
        <v>40</v>
      </c>
      <c r="B44" s="11">
        <v>10542</v>
      </c>
      <c r="C44" s="11" t="s">
        <v>154</v>
      </c>
      <c r="D44" s="12" t="s">
        <v>41</v>
      </c>
      <c r="E44" s="11" t="s">
        <v>155</v>
      </c>
      <c r="F44" s="11" t="s">
        <v>156</v>
      </c>
      <c r="G44" s="11" t="s">
        <v>157</v>
      </c>
      <c r="H44" s="11" t="s">
        <v>158</v>
      </c>
      <c r="I44" s="11">
        <f>16800+1700+1500+1000+1000+500+500</f>
        <v>23000</v>
      </c>
      <c r="J44" s="11">
        <v>24</v>
      </c>
      <c r="K44" s="11">
        <v>0</v>
      </c>
      <c r="L44" s="13">
        <f>I44/30*J44</f>
        <v>18400</v>
      </c>
      <c r="M44" s="13">
        <f>ROUND(I44/31/12*1*K44,0)</f>
        <v>0</v>
      </c>
      <c r="N44" s="13">
        <f>+J44*50*2</f>
        <v>2400</v>
      </c>
      <c r="O44" s="13">
        <f>SUM(L44:N44)</f>
        <v>20800</v>
      </c>
      <c r="P44" s="13">
        <v>0</v>
      </c>
      <c r="Q44" s="13">
        <v>0</v>
      </c>
      <c r="R44" s="13">
        <f>U44+V44-W44</f>
        <v>5000</v>
      </c>
      <c r="S44" s="13">
        <f>ROUND(O44-P44-Q44-R44,)</f>
        <v>15800</v>
      </c>
      <c r="T44" s="14"/>
      <c r="U44" s="2">
        <v>5000</v>
      </c>
    </row>
    <row r="45" spans="1:23" s="2" customFormat="1">
      <c r="A45" s="11">
        <f t="shared" si="0"/>
        <v>41</v>
      </c>
      <c r="B45" s="11">
        <v>11428</v>
      </c>
      <c r="C45" s="11" t="s">
        <v>159</v>
      </c>
      <c r="D45" s="12" t="s">
        <v>41</v>
      </c>
      <c r="E45" s="11" t="s">
        <v>160</v>
      </c>
      <c r="F45" s="11" t="s">
        <v>161</v>
      </c>
      <c r="G45" s="11" t="s">
        <v>162</v>
      </c>
      <c r="H45" s="12" t="s">
        <v>158</v>
      </c>
      <c r="I45" s="11">
        <f>18500+1000+1000+1500+1000+1000</f>
        <v>24000</v>
      </c>
      <c r="J45" s="11">
        <v>15</v>
      </c>
      <c r="K45" s="11">
        <v>0</v>
      </c>
      <c r="L45" s="13">
        <f>I45/30*J45</f>
        <v>12000</v>
      </c>
      <c r="M45" s="13">
        <f>ROUND(I45/31/12*1*K45,0)</f>
        <v>0</v>
      </c>
      <c r="N45" s="13">
        <v>0</v>
      </c>
      <c r="O45" s="13">
        <f>SUM(L45:N45)</f>
        <v>12000</v>
      </c>
      <c r="P45" s="13">
        <v>0</v>
      </c>
      <c r="Q45" s="13">
        <v>0</v>
      </c>
      <c r="R45" s="13">
        <f>U45+V45-W45</f>
        <v>8000</v>
      </c>
      <c r="S45" s="13">
        <f>ROUND(O45-P45-Q45-R45,)</f>
        <v>4000</v>
      </c>
      <c r="T45" s="14"/>
      <c r="U45" s="2">
        <v>3000</v>
      </c>
      <c r="V45" s="19">
        <v>5000</v>
      </c>
      <c r="W45" s="24"/>
    </row>
    <row r="46" spans="1:23" s="2" customFormat="1">
      <c r="A46" s="11">
        <f t="shared" si="0"/>
        <v>42</v>
      </c>
      <c r="B46" s="11"/>
      <c r="C46" s="11" t="s">
        <v>163</v>
      </c>
      <c r="D46" s="12" t="s">
        <v>36</v>
      </c>
      <c r="E46" s="11" t="s">
        <v>27</v>
      </c>
      <c r="F46" s="11" t="s">
        <v>164</v>
      </c>
      <c r="G46" s="11" t="s">
        <v>38</v>
      </c>
      <c r="H46" s="11" t="s">
        <v>104</v>
      </c>
      <c r="I46" s="11">
        <f>4500+500+500+500</f>
        <v>6000</v>
      </c>
      <c r="J46" s="16">
        <v>30</v>
      </c>
      <c r="K46" s="11">
        <v>0</v>
      </c>
      <c r="L46" s="13">
        <f>I46/30*J46</f>
        <v>6000</v>
      </c>
      <c r="M46" s="13">
        <f>ROUND(I46/31/12*1*K46,0)</f>
        <v>0</v>
      </c>
      <c r="N46" s="13">
        <v>0</v>
      </c>
      <c r="O46" s="13">
        <f>SUM(L46:N46)</f>
        <v>6000</v>
      </c>
      <c r="P46" s="13">
        <v>0</v>
      </c>
      <c r="Q46" s="13">
        <v>0</v>
      </c>
      <c r="R46" s="13">
        <f>U46+V46-W46</f>
        <v>0</v>
      </c>
      <c r="S46" s="13">
        <f>ROUND(O46-P46-Q46-R46,)</f>
        <v>6000</v>
      </c>
      <c r="T46" s="14"/>
    </row>
    <row r="47" spans="1:23" s="2" customFormat="1">
      <c r="A47" s="11">
        <f t="shared" si="0"/>
        <v>43</v>
      </c>
      <c r="B47" s="11">
        <v>11571</v>
      </c>
      <c r="C47" s="11" t="s">
        <v>165</v>
      </c>
      <c r="D47" s="14"/>
      <c r="E47" s="11" t="s">
        <v>124</v>
      </c>
      <c r="F47" s="11" t="s">
        <v>166</v>
      </c>
      <c r="G47" s="11" t="s">
        <v>167</v>
      </c>
      <c r="H47" s="12" t="s">
        <v>104</v>
      </c>
      <c r="I47" s="11">
        <f>14000+1000+1000+1500+500</f>
        <v>18000</v>
      </c>
      <c r="J47" s="11">
        <v>29</v>
      </c>
      <c r="K47" s="16">
        <v>0</v>
      </c>
      <c r="L47" s="13">
        <f>I47/30*J47</f>
        <v>17400</v>
      </c>
      <c r="M47" s="13">
        <f>ROUND(I47/31/12*1*K47,0)</f>
        <v>0</v>
      </c>
      <c r="N47" s="13">
        <v>0</v>
      </c>
      <c r="O47" s="13">
        <f>SUM(L47:N47)</f>
        <v>17400</v>
      </c>
      <c r="P47" s="13">
        <v>0</v>
      </c>
      <c r="Q47" s="13">
        <v>0</v>
      </c>
      <c r="R47" s="13">
        <f>U47+V47-W47</f>
        <v>13500</v>
      </c>
      <c r="S47" s="13">
        <f>ROUND(O47-P47-Q47-R47,)</f>
        <v>3900</v>
      </c>
      <c r="T47" s="14"/>
      <c r="U47" s="2">
        <v>3500</v>
      </c>
      <c r="V47" s="19">
        <v>10000</v>
      </c>
    </row>
    <row r="48" spans="1:23" s="2" customFormat="1">
      <c r="A48" s="11">
        <f t="shared" si="0"/>
        <v>44</v>
      </c>
      <c r="B48" s="11">
        <v>11048</v>
      </c>
      <c r="C48" s="11" t="s">
        <v>290</v>
      </c>
      <c r="D48" s="26"/>
      <c r="E48" s="12" t="s">
        <v>27</v>
      </c>
      <c r="F48" s="25" t="s">
        <v>291</v>
      </c>
      <c r="G48" s="12" t="s">
        <v>38</v>
      </c>
      <c r="H48" s="12" t="s">
        <v>104</v>
      </c>
      <c r="I48" s="14">
        <v>17000</v>
      </c>
      <c r="J48" s="11">
        <v>30</v>
      </c>
      <c r="K48" s="11">
        <v>0</v>
      </c>
      <c r="L48" s="13">
        <f>I48/30*J48</f>
        <v>17000</v>
      </c>
      <c r="M48" s="13">
        <f>ROUND(I48/31/12*1*K48,0)</f>
        <v>0</v>
      </c>
      <c r="N48" s="13">
        <v>0</v>
      </c>
      <c r="O48" s="13">
        <f>SUM(L48:N48)</f>
        <v>17000</v>
      </c>
      <c r="P48" s="13">
        <v>0</v>
      </c>
      <c r="Q48" s="13">
        <v>0</v>
      </c>
      <c r="R48" s="13">
        <f>U48+V48-W48</f>
        <v>14500</v>
      </c>
      <c r="S48" s="13">
        <f>ROUND(O48-P48-Q48-R48,)</f>
        <v>2500</v>
      </c>
      <c r="T48" s="14"/>
      <c r="U48" s="2">
        <v>7000</v>
      </c>
      <c r="V48" s="19">
        <v>7500</v>
      </c>
      <c r="W48" s="29">
        <f>2000-2000</f>
        <v>0</v>
      </c>
    </row>
    <row r="49" spans="1:23" s="2" customFormat="1">
      <c r="A49" s="11">
        <f t="shared" si="0"/>
        <v>45</v>
      </c>
      <c r="B49" s="11"/>
      <c r="C49" s="12" t="s">
        <v>303</v>
      </c>
      <c r="D49" s="11"/>
      <c r="E49" s="11"/>
      <c r="F49" s="11"/>
      <c r="G49" s="11"/>
      <c r="H49" s="12" t="s">
        <v>104</v>
      </c>
      <c r="I49" s="14">
        <v>300</v>
      </c>
      <c r="J49" s="11">
        <v>30</v>
      </c>
      <c r="K49" s="11">
        <v>57</v>
      </c>
      <c r="L49" s="13">
        <f>I49*J49</f>
        <v>9000</v>
      </c>
      <c r="M49" s="13">
        <f>I49/8*2*K49</f>
        <v>4275</v>
      </c>
      <c r="N49" s="13">
        <v>0</v>
      </c>
      <c r="O49" s="13">
        <f>SUM(L49:N49)</f>
        <v>13275</v>
      </c>
      <c r="P49" s="13">
        <v>0</v>
      </c>
      <c r="Q49" s="13">
        <v>0</v>
      </c>
      <c r="R49" s="13">
        <f>U49+V49-W49</f>
        <v>8600</v>
      </c>
      <c r="S49" s="13">
        <f>ROUND(O49-P49-Q49-R49,)</f>
        <v>4675</v>
      </c>
      <c r="T49" s="14"/>
      <c r="U49" s="2">
        <v>3600</v>
      </c>
      <c r="V49" s="19">
        <v>5000</v>
      </c>
    </row>
    <row r="50" spans="1:23" s="2" customFormat="1">
      <c r="A50" s="11">
        <f t="shared" si="0"/>
        <v>46</v>
      </c>
      <c r="B50" s="11">
        <v>11817</v>
      </c>
      <c r="C50" s="12" t="s">
        <v>304</v>
      </c>
      <c r="D50" s="11"/>
      <c r="E50" s="11"/>
      <c r="F50" s="11"/>
      <c r="G50" s="11"/>
      <c r="H50" s="12" t="s">
        <v>104</v>
      </c>
      <c r="I50" s="14">
        <v>300</v>
      </c>
      <c r="J50" s="11">
        <v>30</v>
      </c>
      <c r="K50" s="11">
        <v>56</v>
      </c>
      <c r="L50" s="13">
        <f>I50*J50</f>
        <v>9000</v>
      </c>
      <c r="M50" s="13">
        <f>I50/8*2*K50</f>
        <v>4200</v>
      </c>
      <c r="N50" s="13">
        <v>0</v>
      </c>
      <c r="O50" s="13">
        <f>SUM(L50:N50)</f>
        <v>13200</v>
      </c>
      <c r="P50" s="13">
        <v>0</v>
      </c>
      <c r="Q50" s="13">
        <v>0</v>
      </c>
      <c r="R50" s="13">
        <f>U50+V50-W50</f>
        <v>3300</v>
      </c>
      <c r="S50" s="13">
        <f>ROUND(O50-P50-Q50-R50,)</f>
        <v>9900</v>
      </c>
      <c r="T50" s="14"/>
      <c r="U50" s="2">
        <v>3300</v>
      </c>
    </row>
    <row r="51" spans="1:23" s="2" customFormat="1">
      <c r="A51" s="11">
        <f t="shared" si="0"/>
        <v>47</v>
      </c>
      <c r="B51" s="11">
        <v>11701</v>
      </c>
      <c r="C51" s="11" t="s">
        <v>292</v>
      </c>
      <c r="D51" s="26"/>
      <c r="E51" s="12" t="s">
        <v>293</v>
      </c>
      <c r="F51" s="25" t="s">
        <v>294</v>
      </c>
      <c r="G51" s="12" t="s">
        <v>295</v>
      </c>
      <c r="H51" s="12" t="s">
        <v>99</v>
      </c>
      <c r="I51" s="11">
        <f>27000+1000+1500</f>
        <v>29500</v>
      </c>
      <c r="J51" s="11">
        <v>22</v>
      </c>
      <c r="K51" s="11">
        <v>0</v>
      </c>
      <c r="L51" s="13">
        <f>I51/30*J51</f>
        <v>21633.333333333336</v>
      </c>
      <c r="M51" s="13">
        <f>ROUND(I51/31/12*1*K51,0)</f>
        <v>0</v>
      </c>
      <c r="N51" s="13">
        <v>1000</v>
      </c>
      <c r="O51" s="13">
        <f>SUM(L51:N51)</f>
        <v>22633.333333333336</v>
      </c>
      <c r="P51" s="13">
        <v>0</v>
      </c>
      <c r="Q51" s="13">
        <v>0</v>
      </c>
      <c r="R51" s="13">
        <f>U51+V51-W51</f>
        <v>3000</v>
      </c>
      <c r="S51" s="13">
        <f>ROUND(O51-P51-Q51-R51,)</f>
        <v>19633</v>
      </c>
      <c r="T51" s="14"/>
      <c r="U51" s="2">
        <v>3000</v>
      </c>
    </row>
    <row r="52" spans="1:23" s="2" customFormat="1">
      <c r="A52" s="11">
        <f t="shared" si="0"/>
        <v>48</v>
      </c>
      <c r="B52" s="11">
        <v>10480</v>
      </c>
      <c r="C52" s="11" t="s">
        <v>178</v>
      </c>
      <c r="D52" s="12" t="s">
        <v>36</v>
      </c>
      <c r="E52" s="11" t="s">
        <v>27</v>
      </c>
      <c r="F52" s="11" t="s">
        <v>179</v>
      </c>
      <c r="G52" s="11" t="s">
        <v>38</v>
      </c>
      <c r="H52" s="11" t="s">
        <v>180</v>
      </c>
      <c r="I52" s="11">
        <f>260+20+30+20+30+30+30</f>
        <v>420</v>
      </c>
      <c r="J52" s="11">
        <v>28</v>
      </c>
      <c r="K52" s="11">
        <v>52</v>
      </c>
      <c r="L52" s="13">
        <f>I52*J52</f>
        <v>11760</v>
      </c>
      <c r="M52" s="13">
        <f>I52/8*2*K52</f>
        <v>5460</v>
      </c>
      <c r="N52" s="13">
        <v>0</v>
      </c>
      <c r="O52" s="13">
        <f>SUM(L52:N52)</f>
        <v>17220</v>
      </c>
      <c r="P52" s="13">
        <v>0</v>
      </c>
      <c r="Q52" s="13">
        <v>0</v>
      </c>
      <c r="R52" s="13">
        <f>U52+V52-W52</f>
        <v>3500</v>
      </c>
      <c r="S52" s="13">
        <f>ROUND(O52-P52-Q52-R52,)</f>
        <v>13720</v>
      </c>
      <c r="T52" s="12"/>
      <c r="U52" s="2">
        <v>3500</v>
      </c>
    </row>
    <row r="53" spans="1:23" s="2" customFormat="1">
      <c r="A53" s="11">
        <f t="shared" si="0"/>
        <v>49</v>
      </c>
      <c r="B53" s="11">
        <v>11531</v>
      </c>
      <c r="C53" s="12" t="s">
        <v>181</v>
      </c>
      <c r="D53" s="12" t="s">
        <v>182</v>
      </c>
      <c r="E53" s="12" t="s">
        <v>160</v>
      </c>
      <c r="F53" s="25" t="s">
        <v>183</v>
      </c>
      <c r="G53" s="12" t="s">
        <v>184</v>
      </c>
      <c r="H53" s="12" t="s">
        <v>180</v>
      </c>
      <c r="I53" s="14">
        <v>16000</v>
      </c>
      <c r="J53" s="11">
        <v>16</v>
      </c>
      <c r="K53" s="11">
        <v>0</v>
      </c>
      <c r="L53" s="13">
        <f>I53/30*J53</f>
        <v>8533.3333333333339</v>
      </c>
      <c r="M53" s="13">
        <f>ROUND(I53/31/12*1*K53,0)</f>
        <v>0</v>
      </c>
      <c r="N53" s="13">
        <v>0</v>
      </c>
      <c r="O53" s="13">
        <f>SUM(L53:N53)</f>
        <v>8533.3333333333339</v>
      </c>
      <c r="P53" s="13">
        <v>0</v>
      </c>
      <c r="Q53" s="13">
        <v>0</v>
      </c>
      <c r="R53" s="13">
        <f>U53+V53-W53</f>
        <v>5000</v>
      </c>
      <c r="S53" s="13">
        <f>ROUND(O53-P53-Q53-R53,)</f>
        <v>3533</v>
      </c>
      <c r="T53" s="14"/>
      <c r="U53" s="2">
        <v>4000</v>
      </c>
      <c r="V53" s="2">
        <v>1000</v>
      </c>
    </row>
    <row r="54" spans="1:23" s="2" customFormat="1">
      <c r="A54" s="11">
        <f t="shared" si="0"/>
        <v>50</v>
      </c>
      <c r="B54" s="11">
        <v>11411</v>
      </c>
      <c r="C54" s="11" t="s">
        <v>185</v>
      </c>
      <c r="D54" s="11" t="s">
        <v>186</v>
      </c>
      <c r="E54" s="11" t="s">
        <v>187</v>
      </c>
      <c r="F54" s="11" t="s">
        <v>188</v>
      </c>
      <c r="G54" s="11" t="s">
        <v>189</v>
      </c>
      <c r="H54" s="12" t="s">
        <v>180</v>
      </c>
      <c r="I54" s="11">
        <f>275+25+30+30</f>
        <v>360</v>
      </c>
      <c r="J54" s="11">
        <v>15</v>
      </c>
      <c r="K54" s="11">
        <v>33</v>
      </c>
      <c r="L54" s="13">
        <f>I54*J54</f>
        <v>5400</v>
      </c>
      <c r="M54" s="13">
        <f>I54/8*2*K54</f>
        <v>2970</v>
      </c>
      <c r="N54" s="13">
        <v>0</v>
      </c>
      <c r="O54" s="13">
        <f>SUM(L54:N54)</f>
        <v>8370</v>
      </c>
      <c r="P54" s="13">
        <v>0</v>
      </c>
      <c r="Q54" s="13">
        <v>0</v>
      </c>
      <c r="R54" s="13">
        <f>U54+V54-W54</f>
        <v>2100</v>
      </c>
      <c r="S54" s="13">
        <f>ROUND(O54-P54-Q54-R54,)</f>
        <v>6270</v>
      </c>
      <c r="T54" s="14"/>
      <c r="U54" s="2">
        <v>2100</v>
      </c>
    </row>
    <row r="55" spans="1:23" s="2" customFormat="1">
      <c r="A55" s="11">
        <f t="shared" si="0"/>
        <v>51</v>
      </c>
      <c r="B55" s="11"/>
      <c r="C55" s="11" t="s">
        <v>190</v>
      </c>
      <c r="D55" s="11" t="s">
        <v>41</v>
      </c>
      <c r="E55" s="11" t="s">
        <v>175</v>
      </c>
      <c r="F55" s="11" t="s">
        <v>191</v>
      </c>
      <c r="G55" s="11" t="s">
        <v>177</v>
      </c>
      <c r="H55" s="12" t="s">
        <v>180</v>
      </c>
      <c r="I55" s="11">
        <f>15500+1500+1000</f>
        <v>18000</v>
      </c>
      <c r="J55" s="11">
        <v>29</v>
      </c>
      <c r="K55" s="16">
        <v>0</v>
      </c>
      <c r="L55" s="13">
        <f>I55/30*J55</f>
        <v>17400</v>
      </c>
      <c r="M55" s="13">
        <f>ROUND(I55/31/12*1*K55,0)</f>
        <v>0</v>
      </c>
      <c r="N55" s="13">
        <v>0</v>
      </c>
      <c r="O55" s="13">
        <f>SUM(L55:N55)</f>
        <v>17400</v>
      </c>
      <c r="P55" s="13">
        <v>0</v>
      </c>
      <c r="Q55" s="13">
        <v>0</v>
      </c>
      <c r="R55" s="13">
        <f>U55+V55-W55</f>
        <v>5000</v>
      </c>
      <c r="S55" s="13">
        <f>ROUND(O55-P55-Q55-R55,)</f>
        <v>12400</v>
      </c>
      <c r="T55" s="14"/>
      <c r="U55" s="2">
        <v>5000</v>
      </c>
    </row>
    <row r="56" spans="1:23" s="2" customFormat="1">
      <c r="A56" s="11">
        <f t="shared" si="0"/>
        <v>52</v>
      </c>
      <c r="B56" s="11">
        <v>11676</v>
      </c>
      <c r="C56" s="11" t="s">
        <v>192</v>
      </c>
      <c r="D56" s="11"/>
      <c r="E56" s="12" t="s">
        <v>193</v>
      </c>
      <c r="F56" s="25" t="s">
        <v>194</v>
      </c>
      <c r="G56" s="12" t="s">
        <v>195</v>
      </c>
      <c r="H56" s="26" t="s">
        <v>180</v>
      </c>
      <c r="I56" s="14">
        <v>300</v>
      </c>
      <c r="J56" s="11">
        <v>0</v>
      </c>
      <c r="K56" s="11">
        <v>0</v>
      </c>
      <c r="L56" s="13">
        <f>I56*J56</f>
        <v>0</v>
      </c>
      <c r="M56" s="13">
        <f>I56/8*2*K56</f>
        <v>0</v>
      </c>
      <c r="N56" s="13">
        <v>0</v>
      </c>
      <c r="O56" s="13">
        <f>SUM(L56:N56)</f>
        <v>0</v>
      </c>
      <c r="P56" s="13">
        <v>0</v>
      </c>
      <c r="Q56" s="13">
        <v>0</v>
      </c>
      <c r="R56" s="13">
        <f>U56+V56-W56</f>
        <v>0</v>
      </c>
      <c r="S56" s="13">
        <f>ROUND(O56-P56-Q56-R56,)</f>
        <v>0</v>
      </c>
      <c r="T56" s="14"/>
    </row>
    <row r="57" spans="1:23" s="2" customFormat="1">
      <c r="A57" s="11">
        <f t="shared" si="0"/>
        <v>53</v>
      </c>
      <c r="B57" s="11">
        <v>10553</v>
      </c>
      <c r="C57" s="11" t="s">
        <v>196</v>
      </c>
      <c r="D57" s="11"/>
      <c r="E57" s="11" t="s">
        <v>197</v>
      </c>
      <c r="F57" s="11" t="s">
        <v>198</v>
      </c>
      <c r="G57" s="11" t="s">
        <v>199</v>
      </c>
      <c r="H57" s="12" t="s">
        <v>200</v>
      </c>
      <c r="I57" s="11">
        <f>17000+1000+1500+1500+1500+2000+1500</f>
        <v>26000</v>
      </c>
      <c r="J57" s="11">
        <v>26</v>
      </c>
      <c r="K57" s="11">
        <v>0</v>
      </c>
      <c r="L57" s="13">
        <f>I57/30*J57</f>
        <v>22533.333333333332</v>
      </c>
      <c r="M57" s="13">
        <f>ROUND(I57/31/12*1*K57,0)</f>
        <v>0</v>
      </c>
      <c r="N57" s="13">
        <v>1500</v>
      </c>
      <c r="O57" s="13">
        <f>SUM(L57:N57)</f>
        <v>24033.333333333332</v>
      </c>
      <c r="P57" s="11">
        <v>1498</v>
      </c>
      <c r="Q57" s="13">
        <v>0</v>
      </c>
      <c r="R57" s="13">
        <f>U57+V57-W57</f>
        <v>5000</v>
      </c>
      <c r="S57" s="13">
        <f>ROUND(O57-P57-Q57-R57,)</f>
        <v>17535</v>
      </c>
      <c r="T57" s="14"/>
      <c r="U57" s="2">
        <v>5000</v>
      </c>
    </row>
    <row r="58" spans="1:23" s="2" customFormat="1">
      <c r="A58" s="11">
        <f t="shared" si="0"/>
        <v>54</v>
      </c>
      <c r="B58" s="11">
        <v>10940</v>
      </c>
      <c r="C58" s="11" t="s">
        <v>201</v>
      </c>
      <c r="D58" s="12" t="s">
        <v>41</v>
      </c>
      <c r="E58" s="11" t="s">
        <v>202</v>
      </c>
      <c r="F58" s="11" t="s">
        <v>203</v>
      </c>
      <c r="G58" s="11" t="s">
        <v>204</v>
      </c>
      <c r="H58" s="11" t="s">
        <v>200</v>
      </c>
      <c r="I58" s="11">
        <f>17000+1000+1500+1500+1500+1500+1500</f>
        <v>25500</v>
      </c>
      <c r="J58" s="11">
        <v>0</v>
      </c>
      <c r="K58" s="12">
        <v>0</v>
      </c>
      <c r="L58" s="13">
        <f>I58/30*J58</f>
        <v>0</v>
      </c>
      <c r="M58" s="13">
        <f>ROUND(I58/31/12*1*K58,0)</f>
        <v>0</v>
      </c>
      <c r="N58" s="13">
        <v>0</v>
      </c>
      <c r="O58" s="13">
        <f>SUM(L58:N58)</f>
        <v>0</v>
      </c>
      <c r="P58" s="13">
        <v>0</v>
      </c>
      <c r="Q58" s="13">
        <v>0</v>
      </c>
      <c r="R58" s="13">
        <f>U58+V58-W58</f>
        <v>0</v>
      </c>
      <c r="S58" s="13">
        <f>ROUND(O58-P58-Q58-R58,)</f>
        <v>0</v>
      </c>
      <c r="T58" s="14"/>
    </row>
    <row r="59" spans="1:23" s="2" customFormat="1">
      <c r="A59" s="11">
        <f t="shared" si="0"/>
        <v>55</v>
      </c>
      <c r="B59" s="11">
        <v>11542</v>
      </c>
      <c r="C59" s="11" t="s">
        <v>205</v>
      </c>
      <c r="D59" s="11" t="s">
        <v>41</v>
      </c>
      <c r="E59" s="11" t="s">
        <v>206</v>
      </c>
      <c r="F59" s="11" t="s">
        <v>207</v>
      </c>
      <c r="G59" s="11" t="s">
        <v>208</v>
      </c>
      <c r="H59" s="12" t="s">
        <v>200</v>
      </c>
      <c r="I59" s="11">
        <f>18000+1000+1500+500+1500+500</f>
        <v>23000</v>
      </c>
      <c r="J59" s="11">
        <v>14.5</v>
      </c>
      <c r="K59" s="11">
        <v>0</v>
      </c>
      <c r="L59" s="13">
        <f>I59/30*J59</f>
        <v>11116.666666666666</v>
      </c>
      <c r="M59" s="13">
        <f>ROUND(I59/31/12*1*K59,0)</f>
        <v>0</v>
      </c>
      <c r="N59" s="13">
        <v>0</v>
      </c>
      <c r="O59" s="13">
        <f>SUM(L59:N59)</f>
        <v>11116.666666666666</v>
      </c>
      <c r="P59" s="13">
        <v>0</v>
      </c>
      <c r="Q59" s="13">
        <v>0</v>
      </c>
      <c r="R59" s="13">
        <f>U59+V59-W59</f>
        <v>2100</v>
      </c>
      <c r="S59" s="13">
        <f>ROUND(O59-P59-Q59-R59,)</f>
        <v>9017</v>
      </c>
      <c r="T59" s="14"/>
      <c r="U59" s="2">
        <v>2100</v>
      </c>
    </row>
    <row r="60" spans="1:23" s="2" customFormat="1">
      <c r="A60" s="11">
        <f t="shared" si="0"/>
        <v>56</v>
      </c>
      <c r="B60" s="11">
        <v>10449</v>
      </c>
      <c r="C60" s="11" t="s">
        <v>209</v>
      </c>
      <c r="D60" s="11"/>
      <c r="E60" s="11" t="s">
        <v>27</v>
      </c>
      <c r="F60" s="11" t="s">
        <v>210</v>
      </c>
      <c r="G60" s="11" t="s">
        <v>211</v>
      </c>
      <c r="H60" s="11" t="s">
        <v>212</v>
      </c>
      <c r="I60" s="11">
        <f>400+100+30+20+30+30+30</f>
        <v>640</v>
      </c>
      <c r="J60" s="11">
        <v>28</v>
      </c>
      <c r="K60" s="11">
        <v>0</v>
      </c>
      <c r="L60" s="13">
        <f>I60*J60</f>
        <v>17920</v>
      </c>
      <c r="M60" s="13">
        <f>I60/8*1*K60</f>
        <v>0</v>
      </c>
      <c r="N60" s="13">
        <v>0</v>
      </c>
      <c r="O60" s="13">
        <f>SUM(L60:N60)</f>
        <v>17920</v>
      </c>
      <c r="P60" s="11">
        <v>1257</v>
      </c>
      <c r="Q60" s="13">
        <v>0</v>
      </c>
      <c r="R60" s="13">
        <f>U60+V60-W60</f>
        <v>2500</v>
      </c>
      <c r="S60" s="13">
        <f>ROUND(O60-P60-Q60-R60,)</f>
        <v>14163</v>
      </c>
      <c r="T60" s="12"/>
      <c r="U60" s="2">
        <v>2500</v>
      </c>
    </row>
    <row r="61" spans="1:23" s="2" customFormat="1">
      <c r="A61" s="11">
        <f t="shared" si="0"/>
        <v>57</v>
      </c>
      <c r="B61" s="11">
        <v>11344</v>
      </c>
      <c r="C61" s="11" t="s">
        <v>213</v>
      </c>
      <c r="D61" s="11"/>
      <c r="E61" s="11" t="s">
        <v>27</v>
      </c>
      <c r="F61" s="11" t="s">
        <v>214</v>
      </c>
      <c r="G61" s="11" t="s">
        <v>211</v>
      </c>
      <c r="H61" s="12" t="s">
        <v>212</v>
      </c>
      <c r="I61" s="11">
        <f>400+20+30+30+30+30</f>
        <v>540</v>
      </c>
      <c r="J61" s="12">
        <v>28</v>
      </c>
      <c r="K61" s="11">
        <v>0</v>
      </c>
      <c r="L61" s="13">
        <f>I61*J61</f>
        <v>15120</v>
      </c>
      <c r="M61" s="13">
        <f>I61/8*1*K61</f>
        <v>0</v>
      </c>
      <c r="N61" s="13">
        <v>0</v>
      </c>
      <c r="O61" s="13">
        <f>SUM(L61:N61)</f>
        <v>15120</v>
      </c>
      <c r="P61" s="13">
        <v>0</v>
      </c>
      <c r="Q61" s="13">
        <v>0</v>
      </c>
      <c r="R61" s="13">
        <f>U61+V61-W61</f>
        <v>2500</v>
      </c>
      <c r="S61" s="13">
        <f>ROUND(O61-P61-Q61-R61,)</f>
        <v>12620</v>
      </c>
      <c r="T61" s="14"/>
      <c r="U61" s="2">
        <v>8000</v>
      </c>
      <c r="W61" s="2">
        <v>5500</v>
      </c>
    </row>
    <row r="62" spans="1:23" s="2" customFormat="1">
      <c r="A62" s="11">
        <f t="shared" si="0"/>
        <v>58</v>
      </c>
      <c r="B62" s="11">
        <v>11455</v>
      </c>
      <c r="C62" s="11" t="s">
        <v>215</v>
      </c>
      <c r="D62" s="12" t="s">
        <v>36</v>
      </c>
      <c r="E62" s="12" t="s">
        <v>27</v>
      </c>
      <c r="F62" s="25" t="s">
        <v>216</v>
      </c>
      <c r="G62" s="25" t="s">
        <v>38</v>
      </c>
      <c r="H62" s="26" t="s">
        <v>212</v>
      </c>
      <c r="I62" s="11">
        <f>400+30+20</f>
        <v>450</v>
      </c>
      <c r="J62" s="11">
        <v>0</v>
      </c>
      <c r="K62" s="11">
        <v>0</v>
      </c>
      <c r="L62" s="13">
        <f>I62*J62</f>
        <v>0</v>
      </c>
      <c r="M62" s="13">
        <f>I62/8*2*K62</f>
        <v>0</v>
      </c>
      <c r="N62" s="13">
        <v>0</v>
      </c>
      <c r="O62" s="13">
        <f>SUM(L62:N62)</f>
        <v>0</v>
      </c>
      <c r="P62" s="13">
        <v>0</v>
      </c>
      <c r="Q62" s="13">
        <v>0</v>
      </c>
      <c r="R62" s="13">
        <f>U62+V62-W62</f>
        <v>0</v>
      </c>
      <c r="S62" s="13">
        <f>ROUND(O62-P62-Q62-R62,)</f>
        <v>0</v>
      </c>
      <c r="T62" s="14"/>
    </row>
    <row r="63" spans="1:23" s="2" customFormat="1">
      <c r="A63" s="11">
        <f t="shared" si="0"/>
        <v>59</v>
      </c>
      <c r="B63" s="11">
        <v>196</v>
      </c>
      <c r="C63" s="11" t="s">
        <v>217</v>
      </c>
      <c r="D63" s="12" t="s">
        <v>169</v>
      </c>
      <c r="E63" s="11" t="s">
        <v>170</v>
      </c>
      <c r="F63" s="11" t="s">
        <v>218</v>
      </c>
      <c r="G63" s="11" t="s">
        <v>172</v>
      </c>
      <c r="H63" s="11" t="s">
        <v>219</v>
      </c>
      <c r="I63" s="11">
        <f>19500+1000+1250+1750+1750</f>
        <v>25250</v>
      </c>
      <c r="J63" s="11">
        <v>30</v>
      </c>
      <c r="K63" s="11">
        <v>0</v>
      </c>
      <c r="L63" s="13">
        <f>I63/30*J63</f>
        <v>25250</v>
      </c>
      <c r="M63" s="13">
        <f>ROUND(I63/31/12*1*K63,0)</f>
        <v>0</v>
      </c>
      <c r="N63" s="13">
        <v>0</v>
      </c>
      <c r="O63" s="13">
        <f>SUM(L63:N63)</f>
        <v>25250</v>
      </c>
      <c r="P63" s="13">
        <v>0</v>
      </c>
      <c r="Q63" s="13">
        <v>0</v>
      </c>
      <c r="R63" s="13">
        <f>U63+V63-W63</f>
        <v>15000</v>
      </c>
      <c r="S63" s="13">
        <f>ROUND(O63-P63-Q63-R63,)</f>
        <v>10250</v>
      </c>
      <c r="T63" s="12"/>
      <c r="U63" s="2">
        <v>5000</v>
      </c>
      <c r="V63" s="19">
        <v>10000</v>
      </c>
    </row>
    <row r="64" spans="1:23" s="2" customFormat="1">
      <c r="A64" s="11">
        <f t="shared" si="0"/>
        <v>60</v>
      </c>
      <c r="B64" s="11">
        <v>10499</v>
      </c>
      <c r="C64" s="11" t="s">
        <v>220</v>
      </c>
      <c r="D64" s="12" t="s">
        <v>36</v>
      </c>
      <c r="E64" s="11" t="s">
        <v>27</v>
      </c>
      <c r="F64" s="11" t="s">
        <v>221</v>
      </c>
      <c r="G64" s="11" t="s">
        <v>38</v>
      </c>
      <c r="H64" s="11" t="s">
        <v>219</v>
      </c>
      <c r="I64" s="11">
        <f>330+25+30+30</f>
        <v>415</v>
      </c>
      <c r="J64" s="11">
        <v>30</v>
      </c>
      <c r="K64" s="11">
        <v>63</v>
      </c>
      <c r="L64" s="13">
        <f>I64*J64</f>
        <v>12450</v>
      </c>
      <c r="M64" s="13">
        <f>I64/8*2*K64</f>
        <v>6536.25</v>
      </c>
      <c r="N64" s="13">
        <v>0</v>
      </c>
      <c r="O64" s="13">
        <f>SUM(L64:N64)</f>
        <v>18986.25</v>
      </c>
      <c r="P64" s="13">
        <v>0</v>
      </c>
      <c r="Q64" s="13">
        <v>0</v>
      </c>
      <c r="R64" s="13">
        <f>U64+V64-W64</f>
        <v>3500</v>
      </c>
      <c r="S64" s="13">
        <f>ROUND(O64-P64-Q64-R64,)</f>
        <v>15486</v>
      </c>
      <c r="T64" s="12"/>
      <c r="U64" s="2">
        <v>3500</v>
      </c>
    </row>
    <row r="65" spans="1:24" s="2" customFormat="1">
      <c r="A65" s="11">
        <f t="shared" si="0"/>
        <v>61</v>
      </c>
      <c r="B65" s="11">
        <v>10614</v>
      </c>
      <c r="C65" s="11" t="s">
        <v>222</v>
      </c>
      <c r="D65" s="12" t="s">
        <v>66</v>
      </c>
      <c r="E65" s="11" t="s">
        <v>27</v>
      </c>
      <c r="F65" s="11" t="s">
        <v>223</v>
      </c>
      <c r="G65" s="11" t="s">
        <v>68</v>
      </c>
      <c r="H65" s="11" t="s">
        <v>219</v>
      </c>
      <c r="I65" s="11">
        <f>310+20+25+30+30</f>
        <v>415</v>
      </c>
      <c r="J65" s="11">
        <v>25</v>
      </c>
      <c r="K65" s="11">
        <v>54</v>
      </c>
      <c r="L65" s="13">
        <f>I65*J65</f>
        <v>10375</v>
      </c>
      <c r="M65" s="13">
        <f>I65/8*2*K65</f>
        <v>5602.5</v>
      </c>
      <c r="N65" s="13">
        <v>0</v>
      </c>
      <c r="O65" s="13">
        <f>SUM(L65:N65)</f>
        <v>15977.5</v>
      </c>
      <c r="P65" s="13">
        <v>0</v>
      </c>
      <c r="Q65" s="13">
        <v>0</v>
      </c>
      <c r="R65" s="13">
        <f>U65+V65-W65</f>
        <v>3500</v>
      </c>
      <c r="S65" s="13">
        <f>ROUND(O65-P65-Q65-R65,)</f>
        <v>12478</v>
      </c>
      <c r="T65" s="12"/>
      <c r="U65" s="2">
        <v>3500</v>
      </c>
    </row>
    <row r="66" spans="1:24" s="2" customFormat="1">
      <c r="A66" s="11">
        <f t="shared" si="0"/>
        <v>62</v>
      </c>
      <c r="B66" s="11">
        <v>10723</v>
      </c>
      <c r="C66" s="11" t="s">
        <v>224</v>
      </c>
      <c r="D66" s="12" t="s">
        <v>66</v>
      </c>
      <c r="E66" s="11" t="s">
        <v>225</v>
      </c>
      <c r="F66" s="11" t="s">
        <v>226</v>
      </c>
      <c r="G66" s="11" t="s">
        <v>227</v>
      </c>
      <c r="H66" s="11" t="s">
        <v>219</v>
      </c>
      <c r="I66" s="11">
        <f>19000+1000+1000+1500+1500+1000</f>
        <v>25000</v>
      </c>
      <c r="J66" s="11"/>
      <c r="K66" s="11"/>
      <c r="L66" s="13">
        <f>I66/30*J66</f>
        <v>0</v>
      </c>
      <c r="M66" s="13">
        <f>ROUND(I66/31/12*1*K66,0)</f>
        <v>0</v>
      </c>
      <c r="N66" s="13">
        <v>0</v>
      </c>
      <c r="O66" s="13">
        <f>SUM(L66:N66)</f>
        <v>0</v>
      </c>
      <c r="P66" s="13">
        <v>0</v>
      </c>
      <c r="Q66" s="13">
        <v>0</v>
      </c>
      <c r="R66" s="13">
        <f>U66+V66-W66</f>
        <v>0</v>
      </c>
      <c r="S66" s="13">
        <f>ROUND(O66-P66-Q66-R66,)</f>
        <v>0</v>
      </c>
      <c r="T66" s="12"/>
      <c r="U66" s="19">
        <f>1000-1000</f>
        <v>0</v>
      </c>
      <c r="V66" s="19">
        <f>2000-2000</f>
        <v>0</v>
      </c>
    </row>
    <row r="67" spans="1:24" s="2" customFormat="1">
      <c r="A67" s="11">
        <f t="shared" si="0"/>
        <v>63</v>
      </c>
      <c r="B67" s="11">
        <v>11250</v>
      </c>
      <c r="C67" s="11" t="s">
        <v>228</v>
      </c>
      <c r="D67" s="11"/>
      <c r="E67" s="11" t="s">
        <v>229</v>
      </c>
      <c r="F67" s="11" t="s">
        <v>230</v>
      </c>
      <c r="G67" s="11" t="s">
        <v>231</v>
      </c>
      <c r="H67" s="12" t="s">
        <v>219</v>
      </c>
      <c r="I67" s="11">
        <f>280+20+30+50+30</f>
        <v>410</v>
      </c>
      <c r="J67" s="16">
        <v>0</v>
      </c>
      <c r="K67" s="11">
        <v>0</v>
      </c>
      <c r="L67" s="13">
        <f>I67*J67</f>
        <v>0</v>
      </c>
      <c r="M67" s="13">
        <f>I67/8*2*K67</f>
        <v>0</v>
      </c>
      <c r="N67" s="13">
        <v>0</v>
      </c>
      <c r="O67" s="13">
        <f>SUM(L67:N67)</f>
        <v>0</v>
      </c>
      <c r="P67" s="13">
        <v>0</v>
      </c>
      <c r="Q67" s="13">
        <v>0</v>
      </c>
      <c r="R67" s="13">
        <f>U67+V67-W67</f>
        <v>0</v>
      </c>
      <c r="S67" s="13">
        <f>ROUND(O67-P67-Q67-R67,)</f>
        <v>0</v>
      </c>
      <c r="T67" s="14"/>
    </row>
    <row r="68" spans="1:24" s="2" customFormat="1">
      <c r="A68" s="11">
        <f t="shared" si="0"/>
        <v>64</v>
      </c>
      <c r="B68" s="11">
        <v>11012</v>
      </c>
      <c r="C68" s="11" t="s">
        <v>232</v>
      </c>
      <c r="D68" s="12" t="s">
        <v>41</v>
      </c>
      <c r="E68" s="11" t="s">
        <v>233</v>
      </c>
      <c r="F68" s="11" t="s">
        <v>234</v>
      </c>
      <c r="G68" s="11" t="s">
        <v>235</v>
      </c>
      <c r="H68" s="12" t="s">
        <v>219</v>
      </c>
      <c r="I68" s="11">
        <f>250+30+30+25+30+25+30</f>
        <v>420</v>
      </c>
      <c r="J68" s="11">
        <v>0</v>
      </c>
      <c r="K68" s="11">
        <v>0</v>
      </c>
      <c r="L68" s="13">
        <f>I68*J68</f>
        <v>0</v>
      </c>
      <c r="M68" s="13">
        <f>I68/8*2*K68</f>
        <v>0</v>
      </c>
      <c r="N68" s="13">
        <v>0</v>
      </c>
      <c r="O68" s="13">
        <f>SUM(L68:N68)</f>
        <v>0</v>
      </c>
      <c r="P68" s="13">
        <v>0</v>
      </c>
      <c r="Q68" s="13">
        <v>0</v>
      </c>
      <c r="R68" s="13">
        <f>U68+V68-W68</f>
        <v>0</v>
      </c>
      <c r="S68" s="13">
        <f>ROUND(O68-P68-Q68-R68,)</f>
        <v>0</v>
      </c>
      <c r="T68" s="12"/>
    </row>
    <row r="69" spans="1:24" s="2" customFormat="1">
      <c r="A69" s="11">
        <f t="shared" si="0"/>
        <v>65</v>
      </c>
      <c r="B69" s="11">
        <v>10746</v>
      </c>
      <c r="C69" s="11" t="s">
        <v>236</v>
      </c>
      <c r="D69" s="12" t="s">
        <v>169</v>
      </c>
      <c r="E69" s="11" t="s">
        <v>170</v>
      </c>
      <c r="F69" s="11" t="s">
        <v>237</v>
      </c>
      <c r="G69" s="11" t="s">
        <v>172</v>
      </c>
      <c r="H69" s="12" t="s">
        <v>219</v>
      </c>
      <c r="I69" s="14">
        <f>290+30+20+20</f>
        <v>360</v>
      </c>
      <c r="J69" s="11">
        <v>0</v>
      </c>
      <c r="K69" s="11">
        <v>0</v>
      </c>
      <c r="L69" s="13">
        <f>I69*J69</f>
        <v>0</v>
      </c>
      <c r="M69" s="13">
        <f>I69/8*2*K69</f>
        <v>0</v>
      </c>
      <c r="N69" s="13">
        <v>0</v>
      </c>
      <c r="O69" s="13">
        <f>SUM(L69:N69)</f>
        <v>0</v>
      </c>
      <c r="P69" s="13">
        <v>0</v>
      </c>
      <c r="Q69" s="13">
        <v>0</v>
      </c>
      <c r="R69" s="13">
        <f>U69+V69-W69</f>
        <v>0</v>
      </c>
      <c r="S69" s="13">
        <f>ROUND(O69-P69-Q69-R69,)</f>
        <v>0</v>
      </c>
      <c r="T69" s="14"/>
    </row>
    <row r="70" spans="1:24" s="2" customFormat="1">
      <c r="A70" s="11">
        <f t="shared" si="0"/>
        <v>66</v>
      </c>
      <c r="B70" s="11">
        <v>11287</v>
      </c>
      <c r="C70" s="11" t="s">
        <v>238</v>
      </c>
      <c r="D70" s="12" t="s">
        <v>41</v>
      </c>
      <c r="E70" s="11" t="s">
        <v>27</v>
      </c>
      <c r="F70" s="25" t="s">
        <v>239</v>
      </c>
      <c r="G70" s="11" t="s">
        <v>54</v>
      </c>
      <c r="H70" s="12" t="s">
        <v>219</v>
      </c>
      <c r="I70" s="11">
        <f>22000+1500+1500</f>
        <v>25000</v>
      </c>
      <c r="J70" s="16">
        <v>30</v>
      </c>
      <c r="K70" s="11">
        <v>0</v>
      </c>
      <c r="L70" s="13">
        <f>I70/30*J70</f>
        <v>25000</v>
      </c>
      <c r="M70" s="13">
        <f>ROUND(I70/31/12*1*K70,0)</f>
        <v>0</v>
      </c>
      <c r="N70" s="13">
        <v>0</v>
      </c>
      <c r="O70" s="13">
        <f>SUM(L70:N70)</f>
        <v>25000</v>
      </c>
      <c r="P70" s="13">
        <v>0</v>
      </c>
      <c r="Q70" s="13">
        <v>0</v>
      </c>
      <c r="R70" s="13">
        <f>U70+V70-W70</f>
        <v>5000</v>
      </c>
      <c r="S70" s="13">
        <f>ROUND(O70-P70-Q70-R70,)</f>
        <v>20000</v>
      </c>
      <c r="T70" s="14"/>
      <c r="U70" s="2">
        <v>5000</v>
      </c>
    </row>
    <row r="71" spans="1:24" s="2" customFormat="1">
      <c r="A71" s="11">
        <f t="shared" si="0"/>
        <v>67</v>
      </c>
      <c r="B71" s="11">
        <v>11424</v>
      </c>
      <c r="C71" s="11" t="s">
        <v>240</v>
      </c>
      <c r="D71" s="11" t="s">
        <v>169</v>
      </c>
      <c r="E71" s="11" t="s">
        <v>27</v>
      </c>
      <c r="F71" s="11" t="s">
        <v>241</v>
      </c>
      <c r="G71" s="11" t="s">
        <v>172</v>
      </c>
      <c r="H71" s="12" t="s">
        <v>219</v>
      </c>
      <c r="I71" s="11">
        <f>345+25+25</f>
        <v>395</v>
      </c>
      <c r="J71" s="11">
        <v>0</v>
      </c>
      <c r="K71" s="11">
        <v>0</v>
      </c>
      <c r="L71" s="13">
        <f>I71*J71</f>
        <v>0</v>
      </c>
      <c r="M71" s="13">
        <f>I71/8*2*K71</f>
        <v>0</v>
      </c>
      <c r="N71" s="13">
        <v>0</v>
      </c>
      <c r="O71" s="13">
        <f>SUM(L71:N71)</f>
        <v>0</v>
      </c>
      <c r="P71" s="13">
        <v>0</v>
      </c>
      <c r="Q71" s="13">
        <v>0</v>
      </c>
      <c r="R71" s="13">
        <f>U71+V71-W71</f>
        <v>0</v>
      </c>
      <c r="S71" s="13">
        <f>ROUND(O71-P71-Q71-R71,)</f>
        <v>0</v>
      </c>
      <c r="T71" s="14"/>
    </row>
    <row r="72" spans="1:24" s="2" customFormat="1">
      <c r="A72" s="11">
        <f t="shared" si="0"/>
        <v>68</v>
      </c>
      <c r="B72" s="11">
        <v>10729</v>
      </c>
      <c r="C72" s="11" t="s">
        <v>242</v>
      </c>
      <c r="D72" s="11" t="s">
        <v>186</v>
      </c>
      <c r="E72" s="11" t="s">
        <v>229</v>
      </c>
      <c r="F72" s="11" t="s">
        <v>243</v>
      </c>
      <c r="G72" s="11" t="s">
        <v>231</v>
      </c>
      <c r="H72" s="12" t="s">
        <v>219</v>
      </c>
      <c r="I72" s="14">
        <f>380+20</f>
        <v>400</v>
      </c>
      <c r="J72" s="16">
        <v>0</v>
      </c>
      <c r="K72" s="11">
        <v>0</v>
      </c>
      <c r="L72" s="13">
        <f>I72*J72</f>
        <v>0</v>
      </c>
      <c r="M72" s="13">
        <f>I72/8*2*K72</f>
        <v>0</v>
      </c>
      <c r="N72" s="13">
        <v>0</v>
      </c>
      <c r="O72" s="13">
        <f>SUM(L72:N72)</f>
        <v>0</v>
      </c>
      <c r="P72" s="13">
        <v>0</v>
      </c>
      <c r="Q72" s="13">
        <v>0</v>
      </c>
      <c r="R72" s="13">
        <f>U72+V72-W72</f>
        <v>0</v>
      </c>
      <c r="S72" s="13">
        <f>ROUND(O72-P72-Q72-R72,)</f>
        <v>0</v>
      </c>
      <c r="T72" s="14"/>
    </row>
    <row r="73" spans="1:24" s="2" customFormat="1">
      <c r="A73" s="11">
        <f t="shared" si="0"/>
        <v>69</v>
      </c>
      <c r="B73" s="11">
        <v>11332</v>
      </c>
      <c r="C73" s="11" t="s">
        <v>244</v>
      </c>
      <c r="D73" s="11" t="s">
        <v>186</v>
      </c>
      <c r="E73" s="11" t="s">
        <v>229</v>
      </c>
      <c r="F73" s="11" t="s">
        <v>245</v>
      </c>
      <c r="G73" s="11" t="s">
        <v>231</v>
      </c>
      <c r="H73" s="12" t="s">
        <v>219</v>
      </c>
      <c r="I73" s="14">
        <f>290+40+20</f>
        <v>350</v>
      </c>
      <c r="J73" s="11">
        <v>0</v>
      </c>
      <c r="K73" s="11">
        <v>0</v>
      </c>
      <c r="L73" s="13">
        <f>I73*J73</f>
        <v>0</v>
      </c>
      <c r="M73" s="13">
        <f>I73/8*2*K73</f>
        <v>0</v>
      </c>
      <c r="N73" s="13">
        <v>0</v>
      </c>
      <c r="O73" s="13">
        <f>SUM(L73:N73)</f>
        <v>0</v>
      </c>
      <c r="P73" s="13">
        <v>0</v>
      </c>
      <c r="Q73" s="13">
        <v>0</v>
      </c>
      <c r="R73" s="13">
        <f>U73+V73-W73</f>
        <v>0</v>
      </c>
      <c r="S73" s="13">
        <f>ROUND(O73-P73-Q73-R73,)</f>
        <v>0</v>
      </c>
      <c r="T73" s="14"/>
      <c r="U73" s="2">
        <v>1400</v>
      </c>
      <c r="W73" s="2">
        <v>1400</v>
      </c>
    </row>
    <row r="74" spans="1:24" s="2" customFormat="1">
      <c r="A74" s="11">
        <f t="shared" si="0"/>
        <v>70</v>
      </c>
      <c r="B74" s="11">
        <v>11439</v>
      </c>
      <c r="C74" s="11" t="s">
        <v>246</v>
      </c>
      <c r="D74" s="11" t="s">
        <v>186</v>
      </c>
      <c r="E74" s="11" t="s">
        <v>229</v>
      </c>
      <c r="F74" s="11" t="s">
        <v>247</v>
      </c>
      <c r="G74" s="11" t="s">
        <v>231</v>
      </c>
      <c r="H74" s="12" t="s">
        <v>219</v>
      </c>
      <c r="I74" s="14">
        <f>340+30</f>
        <v>370</v>
      </c>
      <c r="J74" s="11">
        <v>0</v>
      </c>
      <c r="K74" s="11">
        <v>0</v>
      </c>
      <c r="L74" s="13">
        <f>I74*J74</f>
        <v>0</v>
      </c>
      <c r="M74" s="13">
        <f>I74/8*2*K74</f>
        <v>0</v>
      </c>
      <c r="N74" s="13">
        <v>0</v>
      </c>
      <c r="O74" s="13">
        <f>SUM(L74:N74)</f>
        <v>0</v>
      </c>
      <c r="P74" s="13">
        <v>0</v>
      </c>
      <c r="Q74" s="13">
        <v>0</v>
      </c>
      <c r="R74" s="13">
        <f>U74+V74-W74</f>
        <v>0</v>
      </c>
      <c r="S74" s="13">
        <f>ROUND(O74-P74-Q74-R74,)</f>
        <v>0</v>
      </c>
      <c r="T74" s="14"/>
    </row>
    <row r="75" spans="1:24" s="2" customFormat="1">
      <c r="A75" s="11">
        <f t="shared" si="0"/>
        <v>71</v>
      </c>
      <c r="B75" s="11">
        <v>11240</v>
      </c>
      <c r="C75" s="11" t="s">
        <v>248</v>
      </c>
      <c r="D75" s="11"/>
      <c r="E75" s="11"/>
      <c r="F75" s="11"/>
      <c r="G75" s="11"/>
      <c r="H75" s="26" t="s">
        <v>219</v>
      </c>
      <c r="I75" s="14">
        <f>310+25</f>
        <v>335</v>
      </c>
      <c r="J75" s="11">
        <v>0</v>
      </c>
      <c r="K75" s="11">
        <v>0</v>
      </c>
      <c r="L75" s="13">
        <f>I75*J75</f>
        <v>0</v>
      </c>
      <c r="M75" s="13">
        <f>I75/8*2*K75</f>
        <v>0</v>
      </c>
      <c r="N75" s="13">
        <v>0</v>
      </c>
      <c r="O75" s="13">
        <f>SUM(L75:N75)</f>
        <v>0</v>
      </c>
      <c r="P75" s="13">
        <v>0</v>
      </c>
      <c r="Q75" s="13">
        <v>0</v>
      </c>
      <c r="R75" s="13">
        <f>U75+V75-W75</f>
        <v>0</v>
      </c>
      <c r="S75" s="13">
        <f>ROUND(O75-P75-Q75-R75,)</f>
        <v>0</v>
      </c>
      <c r="T75" s="14"/>
    </row>
    <row r="76" spans="1:24" s="2" customFormat="1">
      <c r="A76" s="11">
        <f t="shared" si="0"/>
        <v>72</v>
      </c>
      <c r="B76" s="11">
        <v>11675</v>
      </c>
      <c r="C76" s="11" t="s">
        <v>249</v>
      </c>
      <c r="D76" s="12" t="s">
        <v>169</v>
      </c>
      <c r="E76" s="12" t="s">
        <v>27</v>
      </c>
      <c r="F76" s="25" t="s">
        <v>250</v>
      </c>
      <c r="G76" s="12" t="s">
        <v>172</v>
      </c>
      <c r="H76" s="26" t="s">
        <v>219</v>
      </c>
      <c r="I76" s="14">
        <v>20000</v>
      </c>
      <c r="J76" s="11">
        <v>0</v>
      </c>
      <c r="K76" s="11">
        <v>0</v>
      </c>
      <c r="L76" s="13">
        <f>I76/30*J76</f>
        <v>0</v>
      </c>
      <c r="M76" s="13">
        <f>ROUND(I76/31/12*1*K76,0)</f>
        <v>0</v>
      </c>
      <c r="N76" s="13">
        <v>0</v>
      </c>
      <c r="O76" s="13">
        <f>SUM(L76:N76)</f>
        <v>0</v>
      </c>
      <c r="P76" s="13">
        <v>0</v>
      </c>
      <c r="Q76" s="13">
        <v>0</v>
      </c>
      <c r="R76" s="13">
        <f>U76+V76-W76</f>
        <v>0</v>
      </c>
      <c r="S76" s="13">
        <f>ROUND(O76-P76-Q76-R76,)</f>
        <v>0</v>
      </c>
      <c r="T76" s="14"/>
    </row>
    <row r="77" spans="1:24" s="2" customFormat="1">
      <c r="A77" s="11">
        <f t="shared" si="0"/>
        <v>73</v>
      </c>
      <c r="B77" s="11">
        <v>11662</v>
      </c>
      <c r="C77" s="11" t="s">
        <v>251</v>
      </c>
      <c r="D77" s="11"/>
      <c r="E77" s="12" t="s">
        <v>252</v>
      </c>
      <c r="F77" s="25" t="s">
        <v>253</v>
      </c>
      <c r="G77" s="12" t="s">
        <v>254</v>
      </c>
      <c r="H77" s="26" t="s">
        <v>219</v>
      </c>
      <c r="I77" s="11">
        <f>20000+1000</f>
        <v>21000</v>
      </c>
      <c r="J77" s="11">
        <v>30</v>
      </c>
      <c r="K77" s="11">
        <v>3</v>
      </c>
      <c r="L77" s="13">
        <f>I77/30*J77</f>
        <v>21000</v>
      </c>
      <c r="M77" s="13">
        <f>ROUND(I77/31/12*1*K77,0)</f>
        <v>169</v>
      </c>
      <c r="N77" s="13">
        <v>0</v>
      </c>
      <c r="O77" s="13">
        <f>SUM(L77:N77)</f>
        <v>21169</v>
      </c>
      <c r="P77" s="13">
        <v>0</v>
      </c>
      <c r="Q77" s="13">
        <v>0</v>
      </c>
      <c r="R77" s="13">
        <f>U77+V77-W77</f>
        <v>5000</v>
      </c>
      <c r="S77" s="13">
        <f>ROUND(O77-P77-Q77-R77,)</f>
        <v>16169</v>
      </c>
      <c r="T77" s="14"/>
      <c r="U77" s="2">
        <v>5000</v>
      </c>
    </row>
    <row r="78" spans="1:24" s="2" customFormat="1">
      <c r="A78" s="11">
        <f t="shared" si="0"/>
        <v>74</v>
      </c>
      <c r="B78" s="11">
        <v>11793</v>
      </c>
      <c r="C78" s="11" t="s">
        <v>299</v>
      </c>
      <c r="D78" s="11"/>
      <c r="E78" s="11"/>
      <c r="F78" s="11"/>
      <c r="G78" s="11"/>
      <c r="H78" s="26" t="s">
        <v>219</v>
      </c>
      <c r="I78" s="14">
        <f>18000+2000</f>
        <v>20000</v>
      </c>
      <c r="J78" s="11">
        <v>27</v>
      </c>
      <c r="K78" s="11">
        <v>0</v>
      </c>
      <c r="L78" s="13">
        <f>I78/30*J78</f>
        <v>18000</v>
      </c>
      <c r="M78" s="13">
        <f>ROUND(I78/31/12*1*K78,0)</f>
        <v>0</v>
      </c>
      <c r="N78" s="13">
        <v>1000</v>
      </c>
      <c r="O78" s="13">
        <f>SUM(L78:N78)</f>
        <v>19000</v>
      </c>
      <c r="P78" s="13">
        <v>0</v>
      </c>
      <c r="Q78" s="13">
        <v>0</v>
      </c>
      <c r="R78" s="13">
        <f>U78+V78-W78</f>
        <v>7000</v>
      </c>
      <c r="S78" s="13">
        <f>ROUND(O78-P78-Q78-R78,)</f>
        <v>12000</v>
      </c>
      <c r="T78" s="14"/>
      <c r="U78" s="2">
        <v>5000</v>
      </c>
      <c r="V78" s="2">
        <v>2000</v>
      </c>
    </row>
    <row r="79" spans="1:24" s="2" customFormat="1">
      <c r="A79" s="11">
        <f t="shared" si="0"/>
        <v>75</v>
      </c>
      <c r="B79" s="11">
        <v>10805</v>
      </c>
      <c r="C79" s="11" t="s">
        <v>255</v>
      </c>
      <c r="D79" s="12" t="s">
        <v>41</v>
      </c>
      <c r="E79" s="12" t="s">
        <v>27</v>
      </c>
      <c r="F79" s="25" t="s">
        <v>256</v>
      </c>
      <c r="G79" s="12" t="s">
        <v>68</v>
      </c>
      <c r="H79" s="11" t="s">
        <v>69</v>
      </c>
      <c r="I79" s="11">
        <f>17000+500+1500+1500+3000+2000</f>
        <v>25500</v>
      </c>
      <c r="J79" s="11">
        <v>28</v>
      </c>
      <c r="K79" s="11">
        <v>0</v>
      </c>
      <c r="L79" s="13">
        <f>I79/30*J79</f>
        <v>23800</v>
      </c>
      <c r="M79" s="13">
        <f>ROUND(I79/31/12*1*K79,0)</f>
        <v>0</v>
      </c>
      <c r="N79" s="13">
        <v>0</v>
      </c>
      <c r="O79" s="13">
        <f>SUM(L79:N79)</f>
        <v>23800</v>
      </c>
      <c r="P79" s="13">
        <v>0</v>
      </c>
      <c r="Q79" s="13">
        <v>0</v>
      </c>
      <c r="R79" s="13">
        <f>U79+V79-W79+X79</f>
        <v>20000</v>
      </c>
      <c r="S79" s="13">
        <f>ROUND(O79-P79-Q79-R79,)</f>
        <v>3800</v>
      </c>
      <c r="T79" s="12"/>
      <c r="U79" s="2">
        <v>5000</v>
      </c>
      <c r="V79" s="19">
        <v>15000</v>
      </c>
      <c r="X79" s="27"/>
    </row>
    <row r="80" spans="1:24" s="2" customFormat="1">
      <c r="A80" s="11">
        <f t="shared" si="0"/>
        <v>76</v>
      </c>
      <c r="B80" s="11">
        <v>11589</v>
      </c>
      <c r="C80" s="11" t="s">
        <v>168</v>
      </c>
      <c r="D80" s="11" t="s">
        <v>169</v>
      </c>
      <c r="E80" s="11" t="s">
        <v>170</v>
      </c>
      <c r="F80" s="25" t="s">
        <v>171</v>
      </c>
      <c r="G80" s="11" t="s">
        <v>172</v>
      </c>
      <c r="H80" s="12" t="s">
        <v>173</v>
      </c>
      <c r="I80" s="11">
        <f>260+25+5+10+30</f>
        <v>330</v>
      </c>
      <c r="J80" s="11">
        <v>0</v>
      </c>
      <c r="K80" s="11">
        <v>0</v>
      </c>
      <c r="L80" s="13">
        <f>I80*J80</f>
        <v>0</v>
      </c>
      <c r="M80" s="13">
        <f>I80/8*2*K80</f>
        <v>0</v>
      </c>
      <c r="N80" s="13">
        <v>0</v>
      </c>
      <c r="O80" s="13">
        <f>SUM(L80:N80)</f>
        <v>0</v>
      </c>
      <c r="P80" s="13">
        <v>0</v>
      </c>
      <c r="Q80" s="13">
        <v>0</v>
      </c>
      <c r="R80" s="13">
        <f>U80+V80-W80</f>
        <v>0</v>
      </c>
      <c r="S80" s="13">
        <f>ROUND(O80-P80-Q80-R80,)</f>
        <v>0</v>
      </c>
      <c r="T80" s="14"/>
    </row>
    <row r="81" spans="1:23" s="2" customFormat="1">
      <c r="A81" s="11">
        <f t="shared" si="0"/>
        <v>77</v>
      </c>
      <c r="B81" s="11">
        <v>11246</v>
      </c>
      <c r="C81" s="11" t="s">
        <v>257</v>
      </c>
      <c r="D81" s="11"/>
      <c r="E81" s="12" t="s">
        <v>27</v>
      </c>
      <c r="F81" s="25" t="s">
        <v>258</v>
      </c>
      <c r="G81" s="12" t="s">
        <v>172</v>
      </c>
      <c r="H81" s="12" t="s">
        <v>173</v>
      </c>
      <c r="I81" s="14">
        <f>300+30+45</f>
        <v>375</v>
      </c>
      <c r="J81" s="11">
        <v>0</v>
      </c>
      <c r="K81" s="11">
        <v>0</v>
      </c>
      <c r="L81" s="13">
        <f>I81*J81</f>
        <v>0</v>
      </c>
      <c r="M81" s="13">
        <f>I81/8*2*K81</f>
        <v>0</v>
      </c>
      <c r="N81" s="13">
        <v>0</v>
      </c>
      <c r="O81" s="13">
        <f>SUM(L81:N81)</f>
        <v>0</v>
      </c>
      <c r="P81" s="13">
        <v>0</v>
      </c>
      <c r="Q81" s="13">
        <v>0</v>
      </c>
      <c r="R81" s="13">
        <f>U81+V81-W81</f>
        <v>0</v>
      </c>
      <c r="S81" s="13">
        <f>ROUND(O81-P81-Q81-R81,)</f>
        <v>0</v>
      </c>
      <c r="T81" s="14"/>
    </row>
    <row r="82" spans="1:23" s="2" customFormat="1">
      <c r="A82" s="11">
        <f t="shared" si="0"/>
        <v>78</v>
      </c>
      <c r="B82" s="11">
        <v>11596</v>
      </c>
      <c r="C82" s="11" t="s">
        <v>259</v>
      </c>
      <c r="D82" s="11"/>
      <c r="E82" s="11" t="s">
        <v>260</v>
      </c>
      <c r="F82" s="11" t="s">
        <v>261</v>
      </c>
      <c r="G82" s="11" t="s">
        <v>262</v>
      </c>
      <c r="H82" s="12" t="s">
        <v>173</v>
      </c>
      <c r="I82" s="11">
        <f>270+10+20+30+20</f>
        <v>350</v>
      </c>
      <c r="J82" s="11">
        <v>30</v>
      </c>
      <c r="K82" s="11">
        <v>54</v>
      </c>
      <c r="L82" s="13">
        <f>I82*J82</f>
        <v>10500</v>
      </c>
      <c r="M82" s="13">
        <f>I82/8*2*K82</f>
        <v>4725</v>
      </c>
      <c r="N82" s="13">
        <v>0</v>
      </c>
      <c r="O82" s="13">
        <f>SUM(L82:N82)</f>
        <v>15225</v>
      </c>
      <c r="P82" s="13">
        <v>0</v>
      </c>
      <c r="Q82" s="13">
        <v>0</v>
      </c>
      <c r="R82" s="13">
        <f>U82+V82-W82</f>
        <v>3500</v>
      </c>
      <c r="S82" s="13">
        <f>ROUND(O82-P82-Q82-R82,)</f>
        <v>11725</v>
      </c>
      <c r="T82" s="14"/>
      <c r="U82" s="2">
        <v>3500</v>
      </c>
    </row>
    <row r="83" spans="1:23" s="2" customFormat="1">
      <c r="A83" s="11">
        <f t="shared" si="0"/>
        <v>79</v>
      </c>
      <c r="B83" s="11">
        <v>10487</v>
      </c>
      <c r="C83" s="11" t="s">
        <v>263</v>
      </c>
      <c r="D83" s="12" t="s">
        <v>36</v>
      </c>
      <c r="E83" s="11" t="s">
        <v>27</v>
      </c>
      <c r="F83" s="11" t="s">
        <v>264</v>
      </c>
      <c r="G83" s="11" t="s">
        <v>38</v>
      </c>
      <c r="H83" s="12" t="s">
        <v>265</v>
      </c>
      <c r="I83" s="11">
        <f>280+30+30+20+30+40+30</f>
        <v>460</v>
      </c>
      <c r="J83" s="11">
        <v>29</v>
      </c>
      <c r="K83" s="11">
        <v>63</v>
      </c>
      <c r="L83" s="13">
        <f>I83*J83</f>
        <v>13340</v>
      </c>
      <c r="M83" s="13">
        <f>I83/8*2*K83</f>
        <v>7245</v>
      </c>
      <c r="N83" s="13">
        <v>0</v>
      </c>
      <c r="O83" s="13">
        <f>SUM(L83:N83)</f>
        <v>20585</v>
      </c>
      <c r="P83" s="13">
        <v>0</v>
      </c>
      <c r="Q83" s="13">
        <v>0</v>
      </c>
      <c r="R83" s="13">
        <f>U83+V83-W83</f>
        <v>3500</v>
      </c>
      <c r="S83" s="13">
        <f>ROUND(O83-P83-Q83-R83,)</f>
        <v>17085</v>
      </c>
      <c r="T83" s="12"/>
      <c r="U83" s="2">
        <v>3500</v>
      </c>
    </row>
    <row r="84" spans="1:23" s="2" customFormat="1">
      <c r="A84" s="11">
        <f t="shared" si="0"/>
        <v>80</v>
      </c>
      <c r="B84" s="11">
        <v>10705</v>
      </c>
      <c r="C84" s="11" t="s">
        <v>266</v>
      </c>
      <c r="D84" s="12" t="s">
        <v>66</v>
      </c>
      <c r="E84" s="11" t="s">
        <v>27</v>
      </c>
      <c r="F84" s="11" t="s">
        <v>267</v>
      </c>
      <c r="G84" s="11" t="s">
        <v>68</v>
      </c>
      <c r="H84" s="11" t="s">
        <v>265</v>
      </c>
      <c r="I84" s="11">
        <f>280+30+30+20+20+20+30+30+5</f>
        <v>465</v>
      </c>
      <c r="J84" s="11">
        <v>28</v>
      </c>
      <c r="K84" s="11">
        <v>48</v>
      </c>
      <c r="L84" s="13">
        <f>I84*J84</f>
        <v>13020</v>
      </c>
      <c r="M84" s="13">
        <f>I84/8*2*K84</f>
        <v>5580</v>
      </c>
      <c r="N84" s="13">
        <v>0</v>
      </c>
      <c r="O84" s="13">
        <f>SUM(L84:N84)</f>
        <v>18600</v>
      </c>
      <c r="P84" s="13">
        <v>0</v>
      </c>
      <c r="Q84" s="13">
        <v>0</v>
      </c>
      <c r="R84" s="13">
        <f>U84+V84-W84</f>
        <v>5000</v>
      </c>
      <c r="S84" s="13">
        <f>ROUND(O84-P84-Q84-R84,)</f>
        <v>13600</v>
      </c>
      <c r="T84" s="12"/>
      <c r="U84" s="2">
        <v>5000</v>
      </c>
    </row>
    <row r="85" spans="1:23" s="2" customFormat="1">
      <c r="A85" s="11">
        <f t="shared" si="0"/>
        <v>81</v>
      </c>
      <c r="B85" s="11">
        <v>10734</v>
      </c>
      <c r="C85" s="11" t="s">
        <v>268</v>
      </c>
      <c r="D85" s="12" t="s">
        <v>36</v>
      </c>
      <c r="E85" s="11" t="s">
        <v>27</v>
      </c>
      <c r="F85" s="11" t="s">
        <v>269</v>
      </c>
      <c r="G85" s="11" t="s">
        <v>38</v>
      </c>
      <c r="H85" s="11" t="s">
        <v>265</v>
      </c>
      <c r="I85" s="11">
        <f>320+10+10+20+25+15+30+30</f>
        <v>460</v>
      </c>
      <c r="J85" s="11">
        <v>30</v>
      </c>
      <c r="K85" s="11">
        <v>56</v>
      </c>
      <c r="L85" s="13">
        <f>I85*J85</f>
        <v>13800</v>
      </c>
      <c r="M85" s="13">
        <f>I85/8*2*K85</f>
        <v>6440</v>
      </c>
      <c r="N85" s="13">
        <v>0</v>
      </c>
      <c r="O85" s="13">
        <f>SUM(L85:N85)</f>
        <v>20240</v>
      </c>
      <c r="P85" s="13">
        <v>0</v>
      </c>
      <c r="Q85" s="13">
        <v>0</v>
      </c>
      <c r="R85" s="13">
        <f>U85+V85-W85</f>
        <v>6480</v>
      </c>
      <c r="S85" s="13">
        <f>ROUND(O85-P85-Q85-R85,)</f>
        <v>13760</v>
      </c>
      <c r="T85" s="12"/>
      <c r="U85" s="2">
        <v>4500</v>
      </c>
      <c r="V85" s="2">
        <v>1980</v>
      </c>
    </row>
    <row r="86" spans="1:23" s="2" customFormat="1">
      <c r="A86" s="11">
        <f t="shared" si="0"/>
        <v>82</v>
      </c>
      <c r="B86" s="11">
        <v>11024</v>
      </c>
      <c r="C86" s="11" t="s">
        <v>270</v>
      </c>
      <c r="D86" s="12" t="s">
        <v>66</v>
      </c>
      <c r="E86" s="11" t="s">
        <v>140</v>
      </c>
      <c r="F86" s="11" t="s">
        <v>271</v>
      </c>
      <c r="G86" s="11" t="s">
        <v>142</v>
      </c>
      <c r="H86" s="11" t="s">
        <v>265</v>
      </c>
      <c r="I86" s="11">
        <f>17000+1000+2000+1250+1500+1500</f>
        <v>24250</v>
      </c>
      <c r="J86" s="11">
        <v>30</v>
      </c>
      <c r="K86" s="11">
        <v>0</v>
      </c>
      <c r="L86" s="13">
        <f>I86/30*J86</f>
        <v>24250</v>
      </c>
      <c r="M86" s="13">
        <f>ROUND(I86/31/12*1*K86,0)</f>
        <v>0</v>
      </c>
      <c r="N86" s="13">
        <v>1500</v>
      </c>
      <c r="O86" s="13">
        <f>SUM(L86:N86)</f>
        <v>25750</v>
      </c>
      <c r="P86" s="13">
        <v>0</v>
      </c>
      <c r="Q86" s="13">
        <v>0</v>
      </c>
      <c r="R86" s="13">
        <f>+U86+V86+W86</f>
        <v>15000</v>
      </c>
      <c r="S86" s="13">
        <f>ROUND(O86-P86-Q86-R86,)</f>
        <v>10750</v>
      </c>
      <c r="T86" s="12"/>
      <c r="U86" s="2">
        <v>5000</v>
      </c>
      <c r="W86" s="2">
        <v>10000</v>
      </c>
    </row>
    <row r="87" spans="1:23" s="2" customFormat="1">
      <c r="A87" s="11">
        <f t="shared" si="0"/>
        <v>83</v>
      </c>
      <c r="B87" s="11">
        <v>11297</v>
      </c>
      <c r="C87" s="11" t="s">
        <v>272</v>
      </c>
      <c r="D87" s="11"/>
      <c r="E87" s="11" t="s">
        <v>273</v>
      </c>
      <c r="F87" s="11" t="s">
        <v>274</v>
      </c>
      <c r="G87" s="11" t="s">
        <v>275</v>
      </c>
      <c r="H87" s="12" t="s">
        <v>265</v>
      </c>
      <c r="I87" s="11">
        <f>19000+1500+1500+1500+1500</f>
        <v>25000</v>
      </c>
      <c r="J87" s="11">
        <v>5</v>
      </c>
      <c r="K87" s="11">
        <v>0</v>
      </c>
      <c r="L87" s="13">
        <f>I87/30*J87</f>
        <v>4166.666666666667</v>
      </c>
      <c r="M87" s="13">
        <f>ROUND(I87/31/12*1*K87,0)</f>
        <v>0</v>
      </c>
      <c r="N87" s="13">
        <v>0</v>
      </c>
      <c r="O87" s="13">
        <f>SUM(L87:N87)</f>
        <v>4166.666666666667</v>
      </c>
      <c r="P87" s="13">
        <v>0</v>
      </c>
      <c r="Q87" s="13">
        <v>0</v>
      </c>
      <c r="R87" s="13">
        <f>U87+V87-W87</f>
        <v>1000</v>
      </c>
      <c r="S87" s="13">
        <f>ROUND(O87-P87-Q87-R87,)</f>
        <v>3167</v>
      </c>
      <c r="T87" s="14"/>
      <c r="U87" s="2">
        <v>1000</v>
      </c>
      <c r="V87" s="2">
        <v>0</v>
      </c>
      <c r="W87" s="2">
        <v>0</v>
      </c>
    </row>
    <row r="88" spans="1:23" s="2" customFormat="1">
      <c r="A88" s="11">
        <f t="shared" si="0"/>
        <v>84</v>
      </c>
      <c r="B88" s="11">
        <v>10731</v>
      </c>
      <c r="C88" s="11" t="s">
        <v>276</v>
      </c>
      <c r="D88" s="12" t="s">
        <v>36</v>
      </c>
      <c r="E88" s="26" t="s">
        <v>27</v>
      </c>
      <c r="F88" s="28" t="s">
        <v>277</v>
      </c>
      <c r="G88" s="28" t="s">
        <v>38</v>
      </c>
      <c r="H88" s="12" t="s">
        <v>265</v>
      </c>
      <c r="I88" s="11">
        <f>280+20+20+30+30+30</f>
        <v>410</v>
      </c>
      <c r="J88" s="11">
        <v>30</v>
      </c>
      <c r="K88" s="11">
        <v>50</v>
      </c>
      <c r="L88" s="13">
        <f>I88*J88</f>
        <v>12300</v>
      </c>
      <c r="M88" s="13">
        <f>I88/8*2*K88</f>
        <v>5125</v>
      </c>
      <c r="N88" s="13">
        <v>0</v>
      </c>
      <c r="O88" s="13">
        <f>SUM(L88:N88)</f>
        <v>17425</v>
      </c>
      <c r="P88" s="13">
        <v>0</v>
      </c>
      <c r="Q88" s="13">
        <v>0</v>
      </c>
      <c r="R88" s="13">
        <f>U88+V88-W88</f>
        <v>3500</v>
      </c>
      <c r="S88" s="13">
        <f>ROUND(O88-P88-Q88-R88,)</f>
        <v>13925</v>
      </c>
      <c r="T88" s="14"/>
      <c r="U88" s="2">
        <v>3500</v>
      </c>
    </row>
    <row r="89" spans="1:23" s="2" customFormat="1">
      <c r="A89" s="11">
        <f t="shared" si="0"/>
        <v>85</v>
      </c>
      <c r="B89" s="11">
        <v>11388</v>
      </c>
      <c r="C89" s="11" t="s">
        <v>278</v>
      </c>
      <c r="D89" s="11"/>
      <c r="E89" s="11" t="s">
        <v>279</v>
      </c>
      <c r="F89" s="11" t="s">
        <v>280</v>
      </c>
      <c r="G89" s="11" t="s">
        <v>281</v>
      </c>
      <c r="H89" s="12" t="s">
        <v>265</v>
      </c>
      <c r="I89" s="11">
        <f>17000+1000+750+1500+1500+250</f>
        <v>22000</v>
      </c>
      <c r="J89" s="11">
        <v>17</v>
      </c>
      <c r="K89" s="11">
        <v>0</v>
      </c>
      <c r="L89" s="13">
        <f>I89/30*J89</f>
        <v>12466.666666666668</v>
      </c>
      <c r="M89" s="13">
        <f>ROUND(I89/31/12*1*K89,0)</f>
        <v>0</v>
      </c>
      <c r="N89" s="13">
        <v>0</v>
      </c>
      <c r="O89" s="13">
        <f>SUM(L89:N89)</f>
        <v>12466.666666666668</v>
      </c>
      <c r="P89" s="13">
        <v>0</v>
      </c>
      <c r="Q89" s="13">
        <v>0</v>
      </c>
      <c r="R89" s="13">
        <f>U89+V89-W89</f>
        <v>3000</v>
      </c>
      <c r="S89" s="13">
        <f>ROUND(O89-P89-Q89-R89,)</f>
        <v>9467</v>
      </c>
      <c r="T89" s="14"/>
      <c r="U89" s="2">
        <v>3000</v>
      </c>
      <c r="V89" s="2">
        <v>0</v>
      </c>
      <c r="W89" s="2">
        <v>0</v>
      </c>
    </row>
    <row r="90" spans="1:23" s="2" customFormat="1">
      <c r="A90" s="11">
        <f t="shared" si="0"/>
        <v>86</v>
      </c>
      <c r="B90" s="11">
        <v>11302</v>
      </c>
      <c r="C90" s="11" t="s">
        <v>282</v>
      </c>
      <c r="D90" s="12" t="s">
        <v>66</v>
      </c>
      <c r="E90" s="11" t="s">
        <v>27</v>
      </c>
      <c r="F90" s="11" t="s">
        <v>283</v>
      </c>
      <c r="G90" s="11" t="s">
        <v>68</v>
      </c>
      <c r="H90" s="12" t="s">
        <v>265</v>
      </c>
      <c r="I90" s="11">
        <f>21000+1500+1500</f>
        <v>24000</v>
      </c>
      <c r="J90" s="16">
        <v>27</v>
      </c>
      <c r="K90" s="11">
        <v>0</v>
      </c>
      <c r="L90" s="13">
        <f>I90/30*J90</f>
        <v>21600</v>
      </c>
      <c r="M90" s="13">
        <f>ROUND(I90/31/12*1*K90,0)</f>
        <v>0</v>
      </c>
      <c r="N90" s="13">
        <v>0</v>
      </c>
      <c r="O90" s="13">
        <f>SUM(L90:N90)</f>
        <v>21600</v>
      </c>
      <c r="P90" s="13">
        <v>0</v>
      </c>
      <c r="Q90" s="13">
        <v>0</v>
      </c>
      <c r="R90" s="13">
        <f>U90+V90-W90</f>
        <v>5000</v>
      </c>
      <c r="S90" s="13">
        <f>ROUND(O90-P90-Q90-R90,)</f>
        <v>16600</v>
      </c>
      <c r="T90" s="14"/>
      <c r="U90" s="2">
        <v>5000</v>
      </c>
    </row>
    <row r="91" spans="1:23" s="2" customFormat="1">
      <c r="A91" s="11">
        <f t="shared" si="0"/>
        <v>87</v>
      </c>
      <c r="B91" s="11"/>
      <c r="C91" s="11" t="s">
        <v>300</v>
      </c>
      <c r="D91" s="11"/>
      <c r="E91" s="11"/>
      <c r="F91" s="11" t="s">
        <v>301</v>
      </c>
      <c r="G91" s="11" t="s">
        <v>302</v>
      </c>
      <c r="H91" s="26" t="s">
        <v>265</v>
      </c>
      <c r="I91" s="14">
        <v>410</v>
      </c>
      <c r="J91" s="11">
        <v>30</v>
      </c>
      <c r="K91" s="11">
        <v>56</v>
      </c>
      <c r="L91" s="13">
        <f>I91*J91</f>
        <v>12300</v>
      </c>
      <c r="M91" s="13">
        <f>I91/8*2*K91</f>
        <v>5740</v>
      </c>
      <c r="N91" s="13">
        <v>0</v>
      </c>
      <c r="O91" s="13">
        <f>SUM(L91:N91)</f>
        <v>18040</v>
      </c>
      <c r="P91" s="13">
        <v>0</v>
      </c>
      <c r="Q91" s="13">
        <v>0</v>
      </c>
      <c r="R91" s="13">
        <f>U91+V91-W91</f>
        <v>5000</v>
      </c>
      <c r="S91" s="13">
        <f>ROUND(O91-P91-Q91-R91,)</f>
        <v>13040</v>
      </c>
      <c r="T91" s="14"/>
      <c r="U91" s="2">
        <v>5000</v>
      </c>
    </row>
    <row r="92" spans="1:23" s="2" customFormat="1">
      <c r="A92" s="11">
        <f t="shared" si="0"/>
        <v>88</v>
      </c>
      <c r="B92" s="11">
        <v>11370</v>
      </c>
      <c r="C92" s="11" t="s">
        <v>287</v>
      </c>
      <c r="D92" s="26" t="s">
        <v>36</v>
      </c>
      <c r="E92" s="12" t="s">
        <v>27</v>
      </c>
      <c r="F92" s="25" t="s">
        <v>288</v>
      </c>
      <c r="G92" s="12" t="s">
        <v>38</v>
      </c>
      <c r="H92" s="12" t="s">
        <v>289</v>
      </c>
      <c r="I92" s="11">
        <f>15000+1500</f>
        <v>16500</v>
      </c>
      <c r="J92" s="11">
        <v>35</v>
      </c>
      <c r="K92" s="11">
        <v>0</v>
      </c>
      <c r="L92" s="13">
        <f>I92/30*J92</f>
        <v>19250</v>
      </c>
      <c r="M92" s="13">
        <f>ROUND(I92/31/12*1*K92,0)</f>
        <v>0</v>
      </c>
      <c r="N92" s="13">
        <v>0</v>
      </c>
      <c r="O92" s="13">
        <f>SUM(L92:N92)</f>
        <v>19250</v>
      </c>
      <c r="P92" s="13">
        <v>0</v>
      </c>
      <c r="Q92" s="13">
        <v>0</v>
      </c>
      <c r="R92" s="13">
        <f>U92+V92-W92</f>
        <v>0</v>
      </c>
      <c r="S92" s="13">
        <f>ROUND(O92-P92-Q92-R92,)</f>
        <v>19250</v>
      </c>
      <c r="T92" s="14"/>
    </row>
    <row r="93" spans="1:23" s="2" customFormat="1">
      <c r="A93" s="11"/>
      <c r="B93" s="11"/>
      <c r="C93" s="12"/>
      <c r="D93" s="11"/>
      <c r="E93" s="11"/>
      <c r="F93" s="11"/>
      <c r="G93" s="11"/>
      <c r="H93" s="12"/>
      <c r="I93" s="11"/>
      <c r="J93" s="11"/>
      <c r="K93" s="11"/>
      <c r="L93" s="13"/>
      <c r="M93" s="13"/>
      <c r="N93" s="13"/>
      <c r="O93" s="13"/>
      <c r="P93" s="13"/>
      <c r="Q93" s="13"/>
      <c r="R93" s="13"/>
      <c r="S93" s="13"/>
      <c r="T93" s="14"/>
      <c r="U93" s="27"/>
      <c r="V93" s="27"/>
    </row>
    <row r="94" spans="1:23" s="2" customFormat="1">
      <c r="A94" s="11"/>
      <c r="B94" s="11"/>
      <c r="C94" s="14" t="s">
        <v>307</v>
      </c>
      <c r="D94" s="14"/>
      <c r="E94" s="14"/>
      <c r="F94" s="14"/>
      <c r="G94" s="14"/>
      <c r="H94" s="14"/>
      <c r="I94" s="14"/>
      <c r="J94" s="14"/>
      <c r="K94" s="14"/>
      <c r="L94" s="30">
        <f t="shared" ref="L94:S94" si="1">SUBTOTAL(9,L5:L93)</f>
        <v>1458225</v>
      </c>
      <c r="M94" s="30">
        <f t="shared" si="1"/>
        <v>69102.75</v>
      </c>
      <c r="N94" s="30">
        <f t="shared" si="1"/>
        <v>62800</v>
      </c>
      <c r="O94" s="30">
        <f t="shared" si="1"/>
        <v>1590127.75</v>
      </c>
      <c r="P94" s="30">
        <f>SUBTOTAL(9,P5:P93)</f>
        <v>41453</v>
      </c>
      <c r="Q94" s="30">
        <f t="shared" si="1"/>
        <v>78</v>
      </c>
      <c r="R94" s="30">
        <f t="shared" si="1"/>
        <v>382080</v>
      </c>
      <c r="S94" s="30">
        <f t="shared" si="1"/>
        <v>1166517</v>
      </c>
      <c r="T94" s="12"/>
      <c r="U94" s="27"/>
      <c r="V94" s="27"/>
    </row>
    <row r="95" spans="1:23">
      <c r="U95" s="27"/>
      <c r="V95" s="27"/>
    </row>
    <row r="96" spans="1:23">
      <c r="U96" s="27"/>
      <c r="V96" s="27"/>
    </row>
    <row r="97" spans="18:18">
      <c r="R97" s="20"/>
    </row>
  </sheetData>
  <autoFilter ref="A4:X92">
    <filterColumn colId="22"/>
  </autoFilter>
  <sortState ref="A32:X92">
    <sortCondition ref="H32:H92"/>
  </sortState>
  <mergeCells count="14">
    <mergeCell ref="L3:O3"/>
    <mergeCell ref="P3:R3"/>
    <mergeCell ref="S3:S4"/>
    <mergeCell ref="T3:T4"/>
    <mergeCell ref="A1:T1"/>
    <mergeCell ref="A2:T2"/>
    <mergeCell ref="A3:A4"/>
    <mergeCell ref="B3:B4"/>
    <mergeCell ref="C3:C4"/>
    <mergeCell ref="D3:G3"/>
    <mergeCell ref="H3:H4"/>
    <mergeCell ref="I3:I4"/>
    <mergeCell ref="J3:J4"/>
    <mergeCell ref="K3:K4"/>
  </mergeCells>
  <pageMargins left="0.19685039370078741" right="0.19685039370078741" top="0.35433070866141736" bottom="0.27559055118110237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9"/>
  <sheetViews>
    <sheetView topLeftCell="A50" workbookViewId="0">
      <selection activeCell="U106" sqref="U106"/>
    </sheetView>
  </sheetViews>
  <sheetFormatPr defaultRowHeight="15"/>
  <cols>
    <col min="1" max="1" width="5.7109375" bestFit="1" customWidth="1"/>
    <col min="2" max="2" width="6" customWidth="1"/>
    <col min="3" max="3" width="32.85546875" bestFit="1" customWidth="1"/>
    <col min="4" max="4" width="11.140625" hidden="1" customWidth="1"/>
    <col min="5" max="5" width="27.28515625" hidden="1" customWidth="1"/>
    <col min="6" max="6" width="17.28515625" hidden="1" customWidth="1"/>
    <col min="7" max="7" width="14.42578125" hidden="1" customWidth="1"/>
    <col min="8" max="8" width="8.140625" bestFit="1" customWidth="1"/>
    <col min="9" max="9" width="6.140625" bestFit="1" customWidth="1"/>
    <col min="10" max="10" width="5.140625" bestFit="1" customWidth="1"/>
    <col min="11" max="11" width="3.42578125" bestFit="1" customWidth="1"/>
    <col min="12" max="12" width="12" bestFit="1" customWidth="1"/>
    <col min="13" max="13" width="9.7109375" bestFit="1" customWidth="1"/>
    <col min="14" max="14" width="8.42578125" customWidth="1"/>
    <col min="15" max="15" width="10.5703125" bestFit="1" customWidth="1"/>
    <col min="16" max="16" width="8.5703125" customWidth="1"/>
    <col min="17" max="17" width="6.28515625" bestFit="1" customWidth="1"/>
    <col min="18" max="18" width="11.28515625" bestFit="1" customWidth="1"/>
    <col min="19" max="19" width="10.28515625" customWidth="1"/>
    <col min="20" max="20" width="5.5703125" bestFit="1" customWidth="1"/>
    <col min="21" max="21" width="7" style="2" bestFit="1" customWidth="1"/>
    <col min="22" max="22" width="6" style="2" bestFit="1" customWidth="1"/>
    <col min="23" max="23" width="2" bestFit="1" customWidth="1"/>
    <col min="24" max="24" width="1.8554687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>
      <c r="A2" s="1" t="s">
        <v>308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4"/>
      <c r="F3" s="4"/>
      <c r="G3" s="4"/>
      <c r="H3" s="3" t="s">
        <v>6</v>
      </c>
      <c r="I3" s="3" t="s">
        <v>7</v>
      </c>
      <c r="J3" s="3" t="s">
        <v>8</v>
      </c>
      <c r="K3" s="3" t="s">
        <v>9</v>
      </c>
      <c r="L3" s="5" t="s">
        <v>10</v>
      </c>
      <c r="M3" s="4"/>
      <c r="N3" s="4"/>
      <c r="O3" s="4"/>
      <c r="P3" s="5" t="s">
        <v>11</v>
      </c>
      <c r="Q3" s="4"/>
      <c r="R3" s="4"/>
      <c r="S3" s="6" t="s">
        <v>12</v>
      </c>
      <c r="T3" s="3" t="s">
        <v>13</v>
      </c>
      <c r="U3" s="2">
        <f>SUBTOTAL(9,U5:U109)</f>
        <v>187900</v>
      </c>
      <c r="V3" s="2">
        <f>SUBTOTAL(9,V5:V109)</f>
        <v>177000</v>
      </c>
      <c r="W3" s="2">
        <f>SUBTOTAL(9,W5:W109)</f>
        <v>0</v>
      </c>
      <c r="X3" s="2"/>
    </row>
    <row r="4" spans="1:24" ht="30">
      <c r="A4" s="4"/>
      <c r="B4" s="4"/>
      <c r="C4" s="4"/>
      <c r="D4" s="7" t="s">
        <v>14</v>
      </c>
      <c r="E4" s="8" t="s">
        <v>15</v>
      </c>
      <c r="F4" s="7" t="s">
        <v>16</v>
      </c>
      <c r="G4" s="7" t="s">
        <v>17</v>
      </c>
      <c r="H4" s="4"/>
      <c r="I4" s="4"/>
      <c r="J4" s="4"/>
      <c r="K4" s="4"/>
      <c r="L4" s="9" t="s">
        <v>18</v>
      </c>
      <c r="M4" s="10" t="s">
        <v>19</v>
      </c>
      <c r="N4" s="9" t="s">
        <v>20</v>
      </c>
      <c r="O4" s="9" t="s">
        <v>21</v>
      </c>
      <c r="P4" s="9" t="s">
        <v>22</v>
      </c>
      <c r="Q4" s="9" t="s">
        <v>23</v>
      </c>
      <c r="R4" s="9" t="s">
        <v>24</v>
      </c>
      <c r="S4" s="4"/>
      <c r="T4" s="4"/>
    </row>
    <row r="5" spans="1:24">
      <c r="A5" s="11">
        <v>1</v>
      </c>
      <c r="B5" s="11"/>
      <c r="C5" s="11" t="s">
        <v>25</v>
      </c>
      <c r="D5" s="12" t="s">
        <v>26</v>
      </c>
      <c r="E5" s="11" t="s">
        <v>27</v>
      </c>
      <c r="F5" s="11" t="s">
        <v>28</v>
      </c>
      <c r="G5" s="11" t="s">
        <v>29</v>
      </c>
      <c r="H5" s="12" t="s">
        <v>30</v>
      </c>
      <c r="I5" s="11">
        <f>50000+3000+7000+3500</f>
        <v>63500</v>
      </c>
      <c r="J5" s="11">
        <v>31</v>
      </c>
      <c r="K5" s="11"/>
      <c r="L5" s="13">
        <f t="shared" ref="L5:L36" si="0">I5/31*J5</f>
        <v>63500</v>
      </c>
      <c r="M5" s="13">
        <f t="shared" ref="M5:M36" si="1">ROUND(I5/31/12*1*K5,0)</f>
        <v>0</v>
      </c>
      <c r="N5" s="13">
        <v>0</v>
      </c>
      <c r="O5" s="13">
        <f t="shared" ref="O5:O36" si="2">SUM(L5:N5)</f>
        <v>63500</v>
      </c>
      <c r="P5" s="13">
        <v>0</v>
      </c>
      <c r="Q5" s="13">
        <v>0</v>
      </c>
      <c r="R5" s="13">
        <f t="shared" ref="R5:R68" si="3">U5+V5-W5</f>
        <v>0</v>
      </c>
      <c r="S5" s="13">
        <f t="shared" ref="S5:S68" si="4">ROUND(O5-P5-Q5-R5,)</f>
        <v>63500</v>
      </c>
      <c r="T5" s="12"/>
      <c r="U5"/>
      <c r="V5"/>
    </row>
    <row r="6" spans="1:24">
      <c r="A6" s="11">
        <v>2</v>
      </c>
      <c r="B6" s="11">
        <v>11435</v>
      </c>
      <c r="C6" s="11" t="s">
        <v>31</v>
      </c>
      <c r="D6" s="12" t="s">
        <v>26</v>
      </c>
      <c r="E6" s="11" t="s">
        <v>32</v>
      </c>
      <c r="F6" s="11" t="s">
        <v>33</v>
      </c>
      <c r="G6" s="11" t="s">
        <v>34</v>
      </c>
      <c r="H6" s="12" t="s">
        <v>30</v>
      </c>
      <c r="I6" s="11">
        <f>50000+3000+7000+3500</f>
        <v>63500</v>
      </c>
      <c r="J6" s="11">
        <v>31</v>
      </c>
      <c r="K6" s="11"/>
      <c r="L6" s="13">
        <f t="shared" si="0"/>
        <v>63500</v>
      </c>
      <c r="M6" s="13">
        <f t="shared" si="1"/>
        <v>0</v>
      </c>
      <c r="N6" s="13">
        <v>0</v>
      </c>
      <c r="O6" s="13">
        <f t="shared" si="2"/>
        <v>63500</v>
      </c>
      <c r="P6" s="13">
        <v>0</v>
      </c>
      <c r="Q6" s="13">
        <v>0</v>
      </c>
      <c r="R6" s="13">
        <f t="shared" si="3"/>
        <v>0</v>
      </c>
      <c r="S6" s="13">
        <f t="shared" si="4"/>
        <v>63500</v>
      </c>
      <c r="T6" s="12"/>
      <c r="U6"/>
      <c r="V6"/>
    </row>
    <row r="7" spans="1:24">
      <c r="A7" s="11">
        <v>3</v>
      </c>
      <c r="B7" s="11">
        <v>3</v>
      </c>
      <c r="C7" s="11" t="s">
        <v>35</v>
      </c>
      <c r="D7" s="12" t="s">
        <v>36</v>
      </c>
      <c r="E7" s="11" t="s">
        <v>27</v>
      </c>
      <c r="F7" s="11" t="s">
        <v>37</v>
      </c>
      <c r="G7" s="11" t="s">
        <v>38</v>
      </c>
      <c r="H7" s="11" t="s">
        <v>39</v>
      </c>
      <c r="I7" s="11">
        <f>21900+2000+2000+2000+2000+2000+2500+2500</f>
        <v>36900</v>
      </c>
      <c r="J7" s="11">
        <v>31</v>
      </c>
      <c r="K7" s="11"/>
      <c r="L7" s="13">
        <f t="shared" si="0"/>
        <v>36900</v>
      </c>
      <c r="M7" s="13">
        <f t="shared" si="1"/>
        <v>0</v>
      </c>
      <c r="N7" s="13">
        <f>500+J7*50</f>
        <v>2050</v>
      </c>
      <c r="O7" s="13">
        <f t="shared" si="2"/>
        <v>38950</v>
      </c>
      <c r="P7" s="13">
        <v>1800</v>
      </c>
      <c r="Q7" s="13">
        <v>0</v>
      </c>
      <c r="R7" s="13">
        <f t="shared" si="3"/>
        <v>2000</v>
      </c>
      <c r="S7" s="13">
        <f t="shared" si="4"/>
        <v>35150</v>
      </c>
      <c r="T7" s="12"/>
      <c r="U7">
        <v>2000</v>
      </c>
      <c r="V7"/>
    </row>
    <row r="8" spans="1:24">
      <c r="A8" s="11">
        <v>4</v>
      </c>
      <c r="B8" s="11">
        <v>5</v>
      </c>
      <c r="C8" s="11" t="s">
        <v>40</v>
      </c>
      <c r="D8" s="12" t="s">
        <v>41</v>
      </c>
      <c r="E8" s="11" t="s">
        <v>42</v>
      </c>
      <c r="F8" s="11" t="s">
        <v>43</v>
      </c>
      <c r="G8" s="11" t="s">
        <v>44</v>
      </c>
      <c r="H8" s="12" t="s">
        <v>45</v>
      </c>
      <c r="I8" s="11">
        <f>29500+4000+3000+3000+3000+3000+3500+3500</f>
        <v>52500</v>
      </c>
      <c r="J8" s="11">
        <v>31</v>
      </c>
      <c r="K8" s="11"/>
      <c r="L8" s="13">
        <f t="shared" si="0"/>
        <v>52500</v>
      </c>
      <c r="M8" s="13">
        <f t="shared" si="1"/>
        <v>0</v>
      </c>
      <c r="N8" s="13">
        <f>500+J8*50</f>
        <v>2050</v>
      </c>
      <c r="O8" s="13">
        <f t="shared" si="2"/>
        <v>54550</v>
      </c>
      <c r="P8" s="13">
        <v>1800</v>
      </c>
      <c r="Q8" s="13">
        <v>0</v>
      </c>
      <c r="R8" s="13">
        <f t="shared" si="3"/>
        <v>0</v>
      </c>
      <c r="S8" s="13">
        <f t="shared" si="4"/>
        <v>52750</v>
      </c>
      <c r="T8" s="12"/>
      <c r="U8">
        <v>0</v>
      </c>
      <c r="V8"/>
    </row>
    <row r="9" spans="1:24">
      <c r="A9" s="11">
        <v>5</v>
      </c>
      <c r="B9" s="11">
        <v>14</v>
      </c>
      <c r="C9" s="11" t="s">
        <v>46</v>
      </c>
      <c r="D9" s="12" t="s">
        <v>41</v>
      </c>
      <c r="E9" s="11" t="s">
        <v>47</v>
      </c>
      <c r="F9" s="11" t="s">
        <v>48</v>
      </c>
      <c r="G9" s="11" t="s">
        <v>49</v>
      </c>
      <c r="H9" s="11" t="s">
        <v>50</v>
      </c>
      <c r="I9" s="11">
        <f>17000+2000+1500+1500-1000+2000+2250+2500+2500</f>
        <v>30250</v>
      </c>
      <c r="J9" s="11">
        <v>29</v>
      </c>
      <c r="K9" s="11"/>
      <c r="L9" s="13">
        <f t="shared" si="0"/>
        <v>28298.387096774193</v>
      </c>
      <c r="M9" s="13">
        <f t="shared" si="1"/>
        <v>0</v>
      </c>
      <c r="N9" s="13">
        <f>1800+J9*50</f>
        <v>3250</v>
      </c>
      <c r="O9" s="13">
        <f t="shared" si="2"/>
        <v>31548.387096774193</v>
      </c>
      <c r="P9" s="13">
        <v>1797</v>
      </c>
      <c r="Q9" s="13">
        <v>0</v>
      </c>
      <c r="R9" s="13">
        <f t="shared" si="3"/>
        <v>2000</v>
      </c>
      <c r="S9" s="13">
        <f t="shared" si="4"/>
        <v>27751</v>
      </c>
      <c r="T9" s="14"/>
      <c r="U9">
        <v>2000</v>
      </c>
      <c r="V9"/>
    </row>
    <row r="10" spans="1:24" ht="15.75">
      <c r="A10" s="11">
        <v>6</v>
      </c>
      <c r="B10" s="11">
        <v>21</v>
      </c>
      <c r="C10" s="11" t="s">
        <v>51</v>
      </c>
      <c r="D10" s="12" t="s">
        <v>41</v>
      </c>
      <c r="E10" s="12" t="s">
        <v>52</v>
      </c>
      <c r="F10" s="15" t="s">
        <v>53</v>
      </c>
      <c r="G10" s="12" t="s">
        <v>54</v>
      </c>
      <c r="H10" s="11" t="s">
        <v>55</v>
      </c>
      <c r="I10" s="11">
        <f>32500+3000+3000+3000+2500+2000+2500+2500</f>
        <v>51000</v>
      </c>
      <c r="J10" s="12">
        <v>21</v>
      </c>
      <c r="K10" s="11"/>
      <c r="L10" s="13">
        <f t="shared" si="0"/>
        <v>34548.387096774197</v>
      </c>
      <c r="M10" s="13">
        <f t="shared" si="1"/>
        <v>0</v>
      </c>
      <c r="N10" s="13">
        <f>500+J10*50*1</f>
        <v>1550</v>
      </c>
      <c r="O10" s="13">
        <f t="shared" si="2"/>
        <v>36098.387096774197</v>
      </c>
      <c r="P10" s="13">
        <v>1800</v>
      </c>
      <c r="Q10" s="13">
        <v>0</v>
      </c>
      <c r="R10" s="13">
        <f t="shared" si="3"/>
        <v>2000</v>
      </c>
      <c r="S10" s="13">
        <f t="shared" si="4"/>
        <v>32298</v>
      </c>
      <c r="T10" s="12"/>
      <c r="U10">
        <v>2000</v>
      </c>
      <c r="V10"/>
    </row>
    <row r="11" spans="1:24">
      <c r="A11" s="11">
        <v>7</v>
      </c>
      <c r="B11" s="11">
        <v>22</v>
      </c>
      <c r="C11" s="11" t="s">
        <v>56</v>
      </c>
      <c r="D11" s="11" t="s">
        <v>41</v>
      </c>
      <c r="E11" s="11" t="s">
        <v>57</v>
      </c>
      <c r="F11" s="11" t="s">
        <v>58</v>
      </c>
      <c r="G11" s="11" t="s">
        <v>59</v>
      </c>
      <c r="H11" s="11" t="s">
        <v>39</v>
      </c>
      <c r="I11" s="11">
        <f>20000+2000+3000+2500+2500+2500+3000+3000</f>
        <v>38500</v>
      </c>
      <c r="J11" s="11">
        <v>29</v>
      </c>
      <c r="K11" s="11"/>
      <c r="L11" s="13">
        <f t="shared" si="0"/>
        <v>36016.129032258068</v>
      </c>
      <c r="M11" s="13">
        <f t="shared" si="1"/>
        <v>0</v>
      </c>
      <c r="N11" s="13">
        <f>500+J11*50*2</f>
        <v>3400</v>
      </c>
      <c r="O11" s="13">
        <f t="shared" si="2"/>
        <v>39416.129032258068</v>
      </c>
      <c r="P11" s="13">
        <v>1800</v>
      </c>
      <c r="Q11" s="13">
        <v>0</v>
      </c>
      <c r="R11" s="13">
        <f t="shared" si="3"/>
        <v>0</v>
      </c>
      <c r="S11" s="13">
        <f t="shared" si="4"/>
        <v>37616</v>
      </c>
      <c r="T11" s="12"/>
      <c r="U11">
        <v>0</v>
      </c>
      <c r="V11"/>
    </row>
    <row r="12" spans="1:24">
      <c r="A12" s="11">
        <v>8</v>
      </c>
      <c r="B12" s="11">
        <v>30</v>
      </c>
      <c r="C12" s="11" t="s">
        <v>60</v>
      </c>
      <c r="D12" s="12" t="s">
        <v>41</v>
      </c>
      <c r="E12" s="11" t="s">
        <v>27</v>
      </c>
      <c r="F12" s="11" t="s">
        <v>61</v>
      </c>
      <c r="G12" s="11" t="s">
        <v>54</v>
      </c>
      <c r="H12" s="11" t="s">
        <v>39</v>
      </c>
      <c r="I12" s="11">
        <f>23000+4000+1500+3000+3000+2500+2500+3500+3500</f>
        <v>46500</v>
      </c>
      <c r="J12" s="11">
        <v>30</v>
      </c>
      <c r="K12" s="11"/>
      <c r="L12" s="13">
        <f t="shared" si="0"/>
        <v>45000</v>
      </c>
      <c r="M12" s="13">
        <f t="shared" si="1"/>
        <v>0</v>
      </c>
      <c r="N12" s="13">
        <f>4000+J12*50</f>
        <v>5500</v>
      </c>
      <c r="O12" s="13">
        <f t="shared" si="2"/>
        <v>50500</v>
      </c>
      <c r="P12" s="13">
        <v>1800</v>
      </c>
      <c r="Q12" s="13">
        <v>0</v>
      </c>
      <c r="R12" s="13">
        <f t="shared" si="3"/>
        <v>4000</v>
      </c>
      <c r="S12" s="13">
        <f t="shared" si="4"/>
        <v>44700</v>
      </c>
      <c r="T12" s="12"/>
      <c r="U12">
        <v>4000</v>
      </c>
      <c r="V12"/>
    </row>
    <row r="13" spans="1:24">
      <c r="A13" s="11">
        <v>9</v>
      </c>
      <c r="B13" s="11">
        <v>33</v>
      </c>
      <c r="C13" s="11" t="s">
        <v>62</v>
      </c>
      <c r="D13" s="11" t="s">
        <v>41</v>
      </c>
      <c r="E13" s="11" t="s">
        <v>57</v>
      </c>
      <c r="F13" s="11" t="s">
        <v>63</v>
      </c>
      <c r="G13" s="11" t="s">
        <v>59</v>
      </c>
      <c r="H13" s="11" t="s">
        <v>64</v>
      </c>
      <c r="I13" s="11">
        <f>14000+1500+2000+1500+1500+1500+1500+250+1750</f>
        <v>25500</v>
      </c>
      <c r="J13" s="11">
        <v>29</v>
      </c>
      <c r="K13" s="11"/>
      <c r="L13" s="13">
        <f t="shared" si="0"/>
        <v>23854.83870967742</v>
      </c>
      <c r="M13" s="13">
        <f t="shared" si="1"/>
        <v>0</v>
      </c>
      <c r="N13" s="13">
        <f>900+J13*50*2</f>
        <v>3800</v>
      </c>
      <c r="O13" s="13">
        <f t="shared" si="2"/>
        <v>27654.83870967742</v>
      </c>
      <c r="P13" s="13">
        <v>1606</v>
      </c>
      <c r="Q13" s="13">
        <v>0</v>
      </c>
      <c r="R13" s="13">
        <f t="shared" si="3"/>
        <v>2000</v>
      </c>
      <c r="S13" s="13">
        <f t="shared" si="4"/>
        <v>24049</v>
      </c>
      <c r="T13" s="14"/>
      <c r="U13">
        <v>2000</v>
      </c>
      <c r="V13"/>
    </row>
    <row r="14" spans="1:24">
      <c r="A14" s="11">
        <v>10</v>
      </c>
      <c r="B14" s="11">
        <v>36</v>
      </c>
      <c r="C14" s="11" t="s">
        <v>65</v>
      </c>
      <c r="D14" s="12" t="s">
        <v>66</v>
      </c>
      <c r="E14" s="11" t="s">
        <v>27</v>
      </c>
      <c r="F14" s="11" t="s">
        <v>67</v>
      </c>
      <c r="G14" s="11" t="s">
        <v>68</v>
      </c>
      <c r="H14" s="11" t="s">
        <v>69</v>
      </c>
      <c r="I14" s="11">
        <f>20000+1500+1500+1500+1500+2000+2000+2000</f>
        <v>32000</v>
      </c>
      <c r="J14" s="16">
        <v>0</v>
      </c>
      <c r="K14" s="11"/>
      <c r="L14" s="13">
        <f t="shared" si="0"/>
        <v>0</v>
      </c>
      <c r="M14" s="13">
        <f t="shared" si="1"/>
        <v>0</v>
      </c>
      <c r="N14" s="13">
        <v>0</v>
      </c>
      <c r="O14" s="13">
        <f t="shared" si="2"/>
        <v>0</v>
      </c>
      <c r="P14" s="13">
        <v>0</v>
      </c>
      <c r="Q14" s="13">
        <v>0</v>
      </c>
      <c r="R14" s="13">
        <f t="shared" si="3"/>
        <v>0</v>
      </c>
      <c r="S14" s="13">
        <f t="shared" si="4"/>
        <v>0</v>
      </c>
      <c r="T14" s="14"/>
      <c r="U14">
        <v>0</v>
      </c>
      <c r="V14"/>
    </row>
    <row r="15" spans="1:24">
      <c r="A15" s="11">
        <v>11</v>
      </c>
      <c r="B15" s="11">
        <v>91</v>
      </c>
      <c r="C15" s="11" t="s">
        <v>70</v>
      </c>
      <c r="D15" s="12" t="s">
        <v>71</v>
      </c>
      <c r="E15" s="11" t="s">
        <v>27</v>
      </c>
      <c r="F15" s="11" t="s">
        <v>72</v>
      </c>
      <c r="G15" s="11" t="s">
        <v>73</v>
      </c>
      <c r="H15" s="11" t="s">
        <v>39</v>
      </c>
      <c r="I15" s="11">
        <f>21800+3000+1000+3000+2500+2000+1500+2500+2500</f>
        <v>39800</v>
      </c>
      <c r="J15" s="11">
        <v>20</v>
      </c>
      <c r="K15" s="11"/>
      <c r="L15" s="13">
        <f t="shared" si="0"/>
        <v>25677.419354838708</v>
      </c>
      <c r="M15" s="13">
        <f t="shared" si="1"/>
        <v>0</v>
      </c>
      <c r="N15" s="13">
        <f>500+J15*50</f>
        <v>1500</v>
      </c>
      <c r="O15" s="13">
        <f t="shared" si="2"/>
        <v>27177.419354838708</v>
      </c>
      <c r="P15" s="13">
        <v>1713</v>
      </c>
      <c r="Q15" s="13">
        <v>0</v>
      </c>
      <c r="R15" s="13">
        <f t="shared" si="3"/>
        <v>4000</v>
      </c>
      <c r="S15" s="13">
        <f t="shared" si="4"/>
        <v>21464</v>
      </c>
      <c r="T15" s="14"/>
      <c r="U15">
        <v>4000</v>
      </c>
      <c r="V15"/>
    </row>
    <row r="16" spans="1:24">
      <c r="A16" s="11">
        <v>12</v>
      </c>
      <c r="B16" s="11">
        <v>95</v>
      </c>
      <c r="C16" s="11" t="s">
        <v>74</v>
      </c>
      <c r="D16" s="12" t="s">
        <v>41</v>
      </c>
      <c r="E16" s="11" t="s">
        <v>27</v>
      </c>
      <c r="F16" s="11" t="s">
        <v>75</v>
      </c>
      <c r="G16" s="11" t="s">
        <v>54</v>
      </c>
      <c r="H16" s="11" t="s">
        <v>39</v>
      </c>
      <c r="I16" s="11">
        <f>15500+3500+1500+2000+2500+2500+2500+3000+3000</f>
        <v>36000</v>
      </c>
      <c r="J16" s="11">
        <v>23</v>
      </c>
      <c r="K16" s="11"/>
      <c r="L16" s="13">
        <f t="shared" si="0"/>
        <v>26709.677419354837</v>
      </c>
      <c r="M16" s="13">
        <f t="shared" si="1"/>
        <v>0</v>
      </c>
      <c r="N16" s="13">
        <f>300+J16*50</f>
        <v>1450</v>
      </c>
      <c r="O16" s="13">
        <f t="shared" si="2"/>
        <v>28159.677419354837</v>
      </c>
      <c r="P16" s="13">
        <v>1690</v>
      </c>
      <c r="Q16" s="13">
        <v>0</v>
      </c>
      <c r="R16" s="13">
        <f t="shared" si="3"/>
        <v>1000</v>
      </c>
      <c r="S16" s="13">
        <f t="shared" si="4"/>
        <v>25470</v>
      </c>
      <c r="T16" s="12"/>
      <c r="U16">
        <v>1000</v>
      </c>
      <c r="V16"/>
    </row>
    <row r="17" spans="1:22">
      <c r="A17" s="11">
        <v>13</v>
      </c>
      <c r="B17" s="11">
        <v>142</v>
      </c>
      <c r="C17" s="11" t="s">
        <v>76</v>
      </c>
      <c r="D17" s="12" t="s">
        <v>66</v>
      </c>
      <c r="E17" s="11" t="s">
        <v>27</v>
      </c>
      <c r="F17" s="11" t="s">
        <v>77</v>
      </c>
      <c r="G17" s="11" t="s">
        <v>68</v>
      </c>
      <c r="H17" s="11" t="s">
        <v>55</v>
      </c>
      <c r="I17" s="11">
        <f>27500+3000+3000+3000+2500+3000+3000+3000</f>
        <v>48000</v>
      </c>
      <c r="J17" s="11">
        <v>31</v>
      </c>
      <c r="K17" s="11"/>
      <c r="L17" s="13">
        <f t="shared" si="0"/>
        <v>48000</v>
      </c>
      <c r="M17" s="13">
        <f t="shared" si="1"/>
        <v>0</v>
      </c>
      <c r="N17" s="13">
        <f>300+J17*50*2</f>
        <v>3400</v>
      </c>
      <c r="O17" s="13">
        <f t="shared" si="2"/>
        <v>51400</v>
      </c>
      <c r="P17" s="13">
        <v>1800</v>
      </c>
      <c r="Q17" s="13">
        <v>0</v>
      </c>
      <c r="R17" s="13">
        <f t="shared" si="3"/>
        <v>2000</v>
      </c>
      <c r="S17" s="13">
        <f t="shared" si="4"/>
        <v>47600</v>
      </c>
      <c r="T17" s="14"/>
      <c r="U17">
        <v>2000</v>
      </c>
      <c r="V17"/>
    </row>
    <row r="18" spans="1:22">
      <c r="A18" s="11">
        <v>14</v>
      </c>
      <c r="B18" s="11">
        <v>159</v>
      </c>
      <c r="C18" s="11" t="s">
        <v>78</v>
      </c>
      <c r="D18" s="12" t="s">
        <v>66</v>
      </c>
      <c r="E18" s="11" t="s">
        <v>27</v>
      </c>
      <c r="F18" s="11" t="s">
        <v>79</v>
      </c>
      <c r="G18" s="11" t="s">
        <v>68</v>
      </c>
      <c r="H18" s="11" t="s">
        <v>80</v>
      </c>
      <c r="I18" s="11">
        <f>21000+2000+2500+2000+2500+2500+2500+2500</f>
        <v>37500</v>
      </c>
      <c r="J18" s="11">
        <v>31</v>
      </c>
      <c r="K18" s="11"/>
      <c r="L18" s="13">
        <f t="shared" si="0"/>
        <v>37500</v>
      </c>
      <c r="M18" s="13">
        <f t="shared" si="1"/>
        <v>0</v>
      </c>
      <c r="N18" s="13">
        <f>2500+J18*50</f>
        <v>4050</v>
      </c>
      <c r="O18" s="13">
        <f t="shared" si="2"/>
        <v>41550</v>
      </c>
      <c r="P18" s="13">
        <v>1800</v>
      </c>
      <c r="Q18" s="13">
        <v>0</v>
      </c>
      <c r="R18" s="13">
        <f t="shared" si="3"/>
        <v>2000</v>
      </c>
      <c r="S18" s="13">
        <f t="shared" si="4"/>
        <v>37750</v>
      </c>
      <c r="T18" s="14"/>
      <c r="U18">
        <v>2000</v>
      </c>
      <c r="V18"/>
    </row>
    <row r="19" spans="1:22">
      <c r="A19" s="11">
        <v>15</v>
      </c>
      <c r="B19" s="11">
        <v>175</v>
      </c>
      <c r="C19" s="11" t="s">
        <v>81</v>
      </c>
      <c r="D19" s="11"/>
      <c r="E19" s="11" t="s">
        <v>82</v>
      </c>
      <c r="F19" s="11" t="s">
        <v>83</v>
      </c>
      <c r="G19" s="11" t="s">
        <v>84</v>
      </c>
      <c r="H19" s="11" t="s">
        <v>85</v>
      </c>
      <c r="I19" s="11">
        <f>13500+2000+2500+2000+2500+2000+2500+2000+2500</f>
        <v>31500</v>
      </c>
      <c r="J19" s="11">
        <v>27</v>
      </c>
      <c r="K19" s="11"/>
      <c r="L19" s="13">
        <f t="shared" si="0"/>
        <v>27435.483870967742</v>
      </c>
      <c r="M19" s="13">
        <f t="shared" si="1"/>
        <v>0</v>
      </c>
      <c r="N19" s="13">
        <f>+J19*50*2</f>
        <v>2700</v>
      </c>
      <c r="O19" s="13">
        <f t="shared" si="2"/>
        <v>30135.483870967742</v>
      </c>
      <c r="P19" s="13">
        <v>1797</v>
      </c>
      <c r="Q19" s="13">
        <v>0</v>
      </c>
      <c r="R19" s="13">
        <f t="shared" si="3"/>
        <v>2000</v>
      </c>
      <c r="S19" s="13">
        <f t="shared" si="4"/>
        <v>26338</v>
      </c>
      <c r="T19" s="17"/>
      <c r="U19">
        <v>2000</v>
      </c>
      <c r="V19"/>
    </row>
    <row r="20" spans="1:22">
      <c r="A20" s="11">
        <v>16</v>
      </c>
      <c r="B20" s="11">
        <v>213</v>
      </c>
      <c r="C20" s="11" t="s">
        <v>86</v>
      </c>
      <c r="D20" s="12" t="s">
        <v>41</v>
      </c>
      <c r="E20" s="11" t="s">
        <v>87</v>
      </c>
      <c r="F20" s="11" t="s">
        <v>88</v>
      </c>
      <c r="G20" s="11" t="s">
        <v>89</v>
      </c>
      <c r="H20" s="11" t="s">
        <v>90</v>
      </c>
      <c r="I20" s="11">
        <f>17500+2000+3000+2500+2500+2500+3000+3000</f>
        <v>36000</v>
      </c>
      <c r="J20" s="11">
        <v>28</v>
      </c>
      <c r="K20" s="11"/>
      <c r="L20" s="13">
        <f t="shared" si="0"/>
        <v>32516.129032258064</v>
      </c>
      <c r="M20" s="13">
        <f t="shared" si="1"/>
        <v>0</v>
      </c>
      <c r="N20" s="13">
        <f>500+J20*50</f>
        <v>1900</v>
      </c>
      <c r="O20" s="13">
        <f t="shared" si="2"/>
        <v>34416.129032258061</v>
      </c>
      <c r="P20" s="13">
        <v>1800</v>
      </c>
      <c r="Q20" s="13">
        <v>0</v>
      </c>
      <c r="R20" s="13">
        <f t="shared" si="3"/>
        <v>2000</v>
      </c>
      <c r="S20" s="13">
        <f t="shared" si="4"/>
        <v>30616</v>
      </c>
      <c r="T20" s="14"/>
      <c r="U20">
        <v>2000</v>
      </c>
      <c r="V20"/>
    </row>
    <row r="21" spans="1:22">
      <c r="A21" s="11">
        <v>17</v>
      </c>
      <c r="B21" s="11">
        <v>258</v>
      </c>
      <c r="C21" s="11" t="s">
        <v>91</v>
      </c>
      <c r="D21" s="12" t="s">
        <v>41</v>
      </c>
      <c r="E21" s="11" t="s">
        <v>92</v>
      </c>
      <c r="F21" s="11" t="s">
        <v>93</v>
      </c>
      <c r="G21" s="11" t="s">
        <v>94</v>
      </c>
      <c r="H21" s="11" t="s">
        <v>39</v>
      </c>
      <c r="I21" s="11">
        <f>18000+2000+2500+2500+2500+2500+3000+3000</f>
        <v>36000</v>
      </c>
      <c r="J21" s="11">
        <v>31</v>
      </c>
      <c r="K21" s="11"/>
      <c r="L21" s="13">
        <f t="shared" si="0"/>
        <v>36000</v>
      </c>
      <c r="M21" s="13">
        <f t="shared" si="1"/>
        <v>0</v>
      </c>
      <c r="N21" s="13">
        <f>300+J21*50</f>
        <v>1850</v>
      </c>
      <c r="O21" s="13">
        <f t="shared" si="2"/>
        <v>37850</v>
      </c>
      <c r="P21" s="13">
        <v>1800</v>
      </c>
      <c r="Q21" s="13">
        <v>0</v>
      </c>
      <c r="R21" s="13">
        <f t="shared" si="3"/>
        <v>2000</v>
      </c>
      <c r="S21" s="13">
        <f t="shared" si="4"/>
        <v>34050</v>
      </c>
      <c r="T21" s="14"/>
      <c r="U21">
        <v>2000</v>
      </c>
      <c r="V21"/>
    </row>
    <row r="22" spans="1:22">
      <c r="A22" s="11">
        <v>18</v>
      </c>
      <c r="B22" s="11">
        <v>10435</v>
      </c>
      <c r="C22" s="11" t="s">
        <v>95</v>
      </c>
      <c r="D22" s="12" t="s">
        <v>66</v>
      </c>
      <c r="E22" s="11" t="s">
        <v>27</v>
      </c>
      <c r="F22" s="11" t="s">
        <v>96</v>
      </c>
      <c r="G22" s="11" t="s">
        <v>68</v>
      </c>
      <c r="H22" s="11" t="s">
        <v>39</v>
      </c>
      <c r="I22" s="11">
        <f>17500+2000+2000+2000+2000+2000+2000+2000</f>
        <v>31500</v>
      </c>
      <c r="J22" s="11">
        <v>29</v>
      </c>
      <c r="K22" s="11"/>
      <c r="L22" s="13">
        <f t="shared" si="0"/>
        <v>29467.741935483871</v>
      </c>
      <c r="M22" s="13">
        <f t="shared" si="1"/>
        <v>0</v>
      </c>
      <c r="N22" s="13">
        <f>300+J22*50</f>
        <v>1750</v>
      </c>
      <c r="O22" s="13">
        <f t="shared" si="2"/>
        <v>31217.741935483871</v>
      </c>
      <c r="P22" s="13">
        <v>1800</v>
      </c>
      <c r="Q22" s="13">
        <v>0</v>
      </c>
      <c r="R22" s="13">
        <f t="shared" si="3"/>
        <v>2000</v>
      </c>
      <c r="S22" s="13">
        <f t="shared" si="4"/>
        <v>27418</v>
      </c>
      <c r="T22" s="14"/>
      <c r="U22">
        <v>2000</v>
      </c>
      <c r="V22"/>
    </row>
    <row r="23" spans="1:22">
      <c r="A23" s="11">
        <v>19</v>
      </c>
      <c r="B23" s="11">
        <v>10442</v>
      </c>
      <c r="C23" s="11" t="s">
        <v>97</v>
      </c>
      <c r="D23" s="12" t="s">
        <v>66</v>
      </c>
      <c r="E23" s="11" t="s">
        <v>27</v>
      </c>
      <c r="F23" s="11" t="s">
        <v>98</v>
      </c>
      <c r="G23" s="11" t="s">
        <v>68</v>
      </c>
      <c r="H23" s="11" t="s">
        <v>99</v>
      </c>
      <c r="I23" s="11">
        <f>17000+1500+2000+1500+2000+1500+2000+2000+2000</f>
        <v>31500</v>
      </c>
      <c r="J23" s="11">
        <f>31+2</f>
        <v>33</v>
      </c>
      <c r="K23" s="11"/>
      <c r="L23" s="13">
        <f t="shared" si="0"/>
        <v>33532.258064516129</v>
      </c>
      <c r="M23" s="13">
        <f t="shared" si="1"/>
        <v>0</v>
      </c>
      <c r="N23" s="13">
        <f>1000+900</f>
        <v>1900</v>
      </c>
      <c r="O23" s="13">
        <f t="shared" si="2"/>
        <v>35432.258064516129</v>
      </c>
      <c r="P23" s="13">
        <v>1800</v>
      </c>
      <c r="Q23" s="13">
        <v>0</v>
      </c>
      <c r="R23" s="13">
        <f t="shared" si="3"/>
        <v>22000</v>
      </c>
      <c r="S23" s="13">
        <f t="shared" si="4"/>
        <v>11632</v>
      </c>
      <c r="T23" s="14"/>
      <c r="U23">
        <v>2000</v>
      </c>
      <c r="V23" s="19">
        <v>20000</v>
      </c>
    </row>
    <row r="24" spans="1:22">
      <c r="A24" s="11">
        <v>20</v>
      </c>
      <c r="B24" s="11">
        <v>10483</v>
      </c>
      <c r="C24" s="11" t="s">
        <v>100</v>
      </c>
      <c r="D24" s="11"/>
      <c r="E24" s="11" t="s">
        <v>101</v>
      </c>
      <c r="F24" s="11" t="s">
        <v>102</v>
      </c>
      <c r="G24" s="11" t="s">
        <v>103</v>
      </c>
      <c r="H24" s="11" t="s">
        <v>104</v>
      </c>
      <c r="I24" s="11">
        <f>6000+1000+1000+1000+1000</f>
        <v>10000</v>
      </c>
      <c r="J24" s="11">
        <v>29</v>
      </c>
      <c r="K24" s="11"/>
      <c r="L24" s="13">
        <f t="shared" si="0"/>
        <v>9354.8387096774186</v>
      </c>
      <c r="M24" s="13">
        <f t="shared" si="1"/>
        <v>0</v>
      </c>
      <c r="N24" s="13">
        <v>0</v>
      </c>
      <c r="O24" s="13">
        <f t="shared" si="2"/>
        <v>9354.8387096774186</v>
      </c>
      <c r="P24" s="13">
        <v>771</v>
      </c>
      <c r="Q24" s="13">
        <v>78</v>
      </c>
      <c r="R24" s="13">
        <f t="shared" si="3"/>
        <v>0</v>
      </c>
      <c r="S24" s="13">
        <f t="shared" si="4"/>
        <v>8506</v>
      </c>
      <c r="T24" s="12"/>
      <c r="U24">
        <v>0</v>
      </c>
      <c r="V24"/>
    </row>
    <row r="25" spans="1:22">
      <c r="A25" s="11">
        <v>21</v>
      </c>
      <c r="B25" s="11">
        <v>10497</v>
      </c>
      <c r="C25" s="11" t="s">
        <v>105</v>
      </c>
      <c r="D25" s="12" t="s">
        <v>41</v>
      </c>
      <c r="E25" s="11" t="s">
        <v>106</v>
      </c>
      <c r="F25" s="11" t="s">
        <v>107</v>
      </c>
      <c r="G25" s="11" t="s">
        <v>108</v>
      </c>
      <c r="H25" s="11" t="s">
        <v>99</v>
      </c>
      <c r="I25" s="11">
        <f>17000+1500+2500+2000+1500+2000+2000+2000</f>
        <v>30500</v>
      </c>
      <c r="J25" s="12">
        <f>31+2</f>
        <v>33</v>
      </c>
      <c r="K25" s="11"/>
      <c r="L25" s="13">
        <f t="shared" si="0"/>
        <v>32467.741935483871</v>
      </c>
      <c r="M25" s="13">
        <f t="shared" si="1"/>
        <v>0</v>
      </c>
      <c r="N25" s="13">
        <f>2500+900</f>
        <v>3400</v>
      </c>
      <c r="O25" s="13">
        <f t="shared" si="2"/>
        <v>35867.741935483871</v>
      </c>
      <c r="P25" s="13">
        <v>1800</v>
      </c>
      <c r="Q25" s="13">
        <v>0</v>
      </c>
      <c r="R25" s="13">
        <f t="shared" si="3"/>
        <v>4000</v>
      </c>
      <c r="S25" s="13">
        <f t="shared" si="4"/>
        <v>30068</v>
      </c>
      <c r="T25" s="14"/>
      <c r="U25">
        <v>4000</v>
      </c>
      <c r="V25"/>
    </row>
    <row r="26" spans="1:22">
      <c r="A26" s="11">
        <v>22</v>
      </c>
      <c r="B26" s="11">
        <v>10660</v>
      </c>
      <c r="C26" s="11" t="s">
        <v>109</v>
      </c>
      <c r="D26" s="12" t="s">
        <v>36</v>
      </c>
      <c r="E26" s="11" t="s">
        <v>27</v>
      </c>
      <c r="F26" s="11" t="s">
        <v>110</v>
      </c>
      <c r="G26" s="11" t="s">
        <v>38</v>
      </c>
      <c r="H26" s="11" t="s">
        <v>99</v>
      </c>
      <c r="I26" s="11">
        <f>16500+1500+1000+1500+1500+1000+2000+2000+1500</f>
        <v>28500</v>
      </c>
      <c r="J26" s="11">
        <v>19</v>
      </c>
      <c r="K26" s="11"/>
      <c r="L26" s="13">
        <f t="shared" si="0"/>
        <v>17467.741935483871</v>
      </c>
      <c r="M26" s="13">
        <f t="shared" si="1"/>
        <v>0</v>
      </c>
      <c r="N26" s="18">
        <v>900</v>
      </c>
      <c r="O26" s="13">
        <f t="shared" si="2"/>
        <v>18367.741935483871</v>
      </c>
      <c r="P26" s="13">
        <v>1273</v>
      </c>
      <c r="Q26" s="13">
        <v>0</v>
      </c>
      <c r="R26" s="13">
        <f t="shared" si="3"/>
        <v>2000</v>
      </c>
      <c r="S26" s="13">
        <f t="shared" si="4"/>
        <v>15095</v>
      </c>
      <c r="T26" s="14"/>
      <c r="U26">
        <v>2000</v>
      </c>
      <c r="V26"/>
    </row>
    <row r="27" spans="1:22">
      <c r="A27" s="11">
        <v>23</v>
      </c>
      <c r="B27" s="11">
        <v>10865</v>
      </c>
      <c r="C27" s="11" t="s">
        <v>111</v>
      </c>
      <c r="D27" s="12" t="s">
        <v>66</v>
      </c>
      <c r="E27" s="11" t="s">
        <v>27</v>
      </c>
      <c r="F27" s="11" t="s">
        <v>112</v>
      </c>
      <c r="G27" s="11" t="s">
        <v>68</v>
      </c>
      <c r="H27" s="11" t="s">
        <v>113</v>
      </c>
      <c r="I27" s="11">
        <f>17000+1000+2000+2000+1500+300+2000+2000+2000</f>
        <v>29800</v>
      </c>
      <c r="J27" s="11">
        <v>31</v>
      </c>
      <c r="K27" s="11"/>
      <c r="L27" s="13">
        <f t="shared" si="0"/>
        <v>29800</v>
      </c>
      <c r="M27" s="13">
        <f t="shared" si="1"/>
        <v>0</v>
      </c>
      <c r="N27" s="13">
        <f>+J27*50*2</f>
        <v>3100</v>
      </c>
      <c r="O27" s="13">
        <f t="shared" si="2"/>
        <v>32900</v>
      </c>
      <c r="P27" s="13">
        <v>1800</v>
      </c>
      <c r="Q27" s="13">
        <v>0</v>
      </c>
      <c r="R27" s="13">
        <f t="shared" si="3"/>
        <v>15000</v>
      </c>
      <c r="S27" s="13">
        <f t="shared" si="4"/>
        <v>16100</v>
      </c>
      <c r="T27" s="14"/>
      <c r="U27">
        <v>2000</v>
      </c>
      <c r="V27">
        <v>13000</v>
      </c>
    </row>
    <row r="28" spans="1:22">
      <c r="A28" s="11">
        <v>24</v>
      </c>
      <c r="B28" s="11">
        <v>10990</v>
      </c>
      <c r="C28" s="11" t="s">
        <v>114</v>
      </c>
      <c r="D28" s="12" t="s">
        <v>66</v>
      </c>
      <c r="E28" s="11" t="s">
        <v>27</v>
      </c>
      <c r="F28" s="11" t="s">
        <v>115</v>
      </c>
      <c r="G28" s="11" t="s">
        <v>68</v>
      </c>
      <c r="H28" s="11" t="s">
        <v>116</v>
      </c>
      <c r="I28" s="11">
        <f>36000+2000+2500+2500+2500+2500+2500</f>
        <v>50500</v>
      </c>
      <c r="J28" s="11">
        <v>31</v>
      </c>
      <c r="K28" s="11"/>
      <c r="L28" s="13">
        <f t="shared" si="0"/>
        <v>50500</v>
      </c>
      <c r="M28" s="13">
        <f t="shared" si="1"/>
        <v>0</v>
      </c>
      <c r="N28" s="13">
        <v>0</v>
      </c>
      <c r="O28" s="13">
        <f t="shared" si="2"/>
        <v>50500</v>
      </c>
      <c r="P28" s="13">
        <v>1800</v>
      </c>
      <c r="Q28" s="13">
        <v>0</v>
      </c>
      <c r="R28" s="13">
        <f t="shared" si="3"/>
        <v>22000</v>
      </c>
      <c r="S28" s="13">
        <f t="shared" si="4"/>
        <v>26700</v>
      </c>
      <c r="T28" s="12"/>
      <c r="U28">
        <v>2000</v>
      </c>
      <c r="V28">
        <v>20000</v>
      </c>
    </row>
    <row r="29" spans="1:22">
      <c r="A29" s="11">
        <v>25</v>
      </c>
      <c r="B29" s="11">
        <v>11145</v>
      </c>
      <c r="C29" s="11" t="s">
        <v>117</v>
      </c>
      <c r="D29" s="12" t="s">
        <v>41</v>
      </c>
      <c r="E29" s="11" t="s">
        <v>101</v>
      </c>
      <c r="F29" s="11" t="s">
        <v>118</v>
      </c>
      <c r="G29" s="11" t="s">
        <v>119</v>
      </c>
      <c r="H29" s="12" t="s">
        <v>64</v>
      </c>
      <c r="I29" s="11">
        <f>15000+1000+1500+1500+1500+1500+250+1750+1000</f>
        <v>25000</v>
      </c>
      <c r="J29" s="11">
        <f>31-3</f>
        <v>28</v>
      </c>
      <c r="K29" s="11"/>
      <c r="L29" s="13">
        <f t="shared" si="0"/>
        <v>22580.645161290326</v>
      </c>
      <c r="M29" s="13">
        <f t="shared" si="1"/>
        <v>0</v>
      </c>
      <c r="N29" s="13">
        <f>+J29*50*2</f>
        <v>2800</v>
      </c>
      <c r="O29" s="13">
        <f t="shared" si="2"/>
        <v>25380.645161290326</v>
      </c>
      <c r="P29" s="13">
        <v>1326</v>
      </c>
      <c r="Q29" s="13">
        <v>0</v>
      </c>
      <c r="R29" s="13">
        <f t="shared" si="3"/>
        <v>3000</v>
      </c>
      <c r="S29" s="13">
        <f t="shared" si="4"/>
        <v>21055</v>
      </c>
      <c r="T29" s="12"/>
      <c r="U29">
        <v>3000</v>
      </c>
      <c r="V29"/>
    </row>
    <row r="30" spans="1:22">
      <c r="A30" s="11">
        <v>26</v>
      </c>
      <c r="B30" s="11">
        <v>10540</v>
      </c>
      <c r="C30" s="11" t="s">
        <v>120</v>
      </c>
      <c r="D30" s="12" t="s">
        <v>41</v>
      </c>
      <c r="E30" s="11" t="s">
        <v>27</v>
      </c>
      <c r="F30" s="11" t="s">
        <v>121</v>
      </c>
      <c r="G30" s="11" t="s">
        <v>54</v>
      </c>
      <c r="H30" s="12" t="s">
        <v>122</v>
      </c>
      <c r="I30" s="11">
        <v>7000</v>
      </c>
      <c r="J30" s="16">
        <v>31</v>
      </c>
      <c r="K30" s="11"/>
      <c r="L30" s="13">
        <f t="shared" si="0"/>
        <v>7000</v>
      </c>
      <c r="M30" s="13">
        <f t="shared" si="1"/>
        <v>0</v>
      </c>
      <c r="N30" s="13">
        <v>0</v>
      </c>
      <c r="O30" s="13">
        <f t="shared" si="2"/>
        <v>7000</v>
      </c>
      <c r="P30" s="13">
        <v>0</v>
      </c>
      <c r="Q30" s="13">
        <v>0</v>
      </c>
      <c r="R30" s="13">
        <f t="shared" si="3"/>
        <v>0</v>
      </c>
      <c r="S30" s="13">
        <f t="shared" si="4"/>
        <v>7000</v>
      </c>
      <c r="T30" s="12"/>
      <c r="U30">
        <v>0</v>
      </c>
      <c r="V30"/>
    </row>
    <row r="31" spans="1:22" s="2" customFormat="1">
      <c r="A31" s="11">
        <v>27</v>
      </c>
      <c r="B31" s="11">
        <v>11336</v>
      </c>
      <c r="C31" s="11" t="s">
        <v>123</v>
      </c>
      <c r="D31" s="12" t="s">
        <v>41</v>
      </c>
      <c r="E31" s="11" t="s">
        <v>124</v>
      </c>
      <c r="F31" s="11" t="s">
        <v>125</v>
      </c>
      <c r="G31" s="11" t="s">
        <v>126</v>
      </c>
      <c r="H31" s="21" t="s">
        <v>127</v>
      </c>
      <c r="I31" s="11">
        <f>17000+1500+2000+2500+2500</f>
        <v>25500</v>
      </c>
      <c r="J31" s="11">
        <v>29</v>
      </c>
      <c r="K31" s="11"/>
      <c r="L31" s="13">
        <f t="shared" si="0"/>
        <v>23854.83870967742</v>
      </c>
      <c r="M31" s="13">
        <f t="shared" si="1"/>
        <v>0</v>
      </c>
      <c r="N31" s="13">
        <f>+J31*50*1+3000</f>
        <v>4450</v>
      </c>
      <c r="O31" s="13">
        <f t="shared" si="2"/>
        <v>28304.83870967742</v>
      </c>
      <c r="P31" s="13">
        <v>1536</v>
      </c>
      <c r="Q31" s="13">
        <v>0</v>
      </c>
      <c r="R31" s="13">
        <f t="shared" si="3"/>
        <v>14500</v>
      </c>
      <c r="S31" s="13">
        <f t="shared" si="4"/>
        <v>12269</v>
      </c>
      <c r="T31" s="12"/>
      <c r="U31" s="2">
        <v>2000</v>
      </c>
      <c r="V31" s="19">
        <v>12500</v>
      </c>
    </row>
    <row r="32" spans="1:22" s="2" customFormat="1">
      <c r="A32" s="11">
        <f>+A31+1</f>
        <v>28</v>
      </c>
      <c r="B32" s="11">
        <v>11680</v>
      </c>
      <c r="C32" s="11" t="s">
        <v>284</v>
      </c>
      <c r="D32" s="26" t="s">
        <v>71</v>
      </c>
      <c r="E32" s="12" t="s">
        <v>27</v>
      </c>
      <c r="F32" s="25" t="s">
        <v>285</v>
      </c>
      <c r="G32" s="12" t="s">
        <v>73</v>
      </c>
      <c r="H32" s="12" t="s">
        <v>286</v>
      </c>
      <c r="I32" s="11">
        <v>9500</v>
      </c>
      <c r="J32" s="11">
        <v>29</v>
      </c>
      <c r="K32" s="11">
        <v>0</v>
      </c>
      <c r="L32" s="13">
        <f>I32/31*J32</f>
        <v>8887.0967741935474</v>
      </c>
      <c r="M32" s="13">
        <f>ROUND(I32/31/12*1*K32,0)</f>
        <v>0</v>
      </c>
      <c r="N32" s="13">
        <v>0</v>
      </c>
      <c r="O32" s="13">
        <f>SUM(L32:N32)</f>
        <v>8887.0967741935474</v>
      </c>
      <c r="P32" s="13">
        <v>0</v>
      </c>
      <c r="Q32" s="13">
        <v>0</v>
      </c>
      <c r="R32" s="13">
        <f>U32+V32-W32</f>
        <v>2000</v>
      </c>
      <c r="S32" s="13">
        <f>ROUND(O32-P32-Q32-R32,)</f>
        <v>6887</v>
      </c>
      <c r="T32" s="14"/>
      <c r="U32" s="2">
        <v>2000</v>
      </c>
    </row>
    <row r="33" spans="1:22" s="2" customFormat="1">
      <c r="A33" s="11">
        <f t="shared" ref="A33:A96" si="5">+A32+1</f>
        <v>29</v>
      </c>
      <c r="B33" s="11">
        <v>10430</v>
      </c>
      <c r="C33" s="11" t="s">
        <v>128</v>
      </c>
      <c r="D33" s="12" t="s">
        <v>36</v>
      </c>
      <c r="E33" s="11" t="s">
        <v>27</v>
      </c>
      <c r="F33" s="11" t="s">
        <v>129</v>
      </c>
      <c r="G33" s="11" t="s">
        <v>38</v>
      </c>
      <c r="H33" s="11" t="s">
        <v>130</v>
      </c>
      <c r="I33" s="11">
        <f>18000+1500+1500+1500+1500+2000+2000</f>
        <v>28000</v>
      </c>
      <c r="J33" s="11">
        <v>21</v>
      </c>
      <c r="K33" s="11">
        <v>0</v>
      </c>
      <c r="L33" s="13">
        <f>I33/31*J33</f>
        <v>18967.741935483871</v>
      </c>
      <c r="M33" s="13">
        <f>ROUND(I33/31/12*1*K33,0)</f>
        <v>0</v>
      </c>
      <c r="N33" s="13">
        <v>0</v>
      </c>
      <c r="O33" s="13">
        <f>SUM(L33:N33)</f>
        <v>18967.741935483871</v>
      </c>
      <c r="P33" s="13">
        <v>0</v>
      </c>
      <c r="Q33" s="13">
        <v>0</v>
      </c>
      <c r="R33" s="13">
        <f>U33+V33-W33</f>
        <v>12000</v>
      </c>
      <c r="S33" s="13">
        <f>ROUND(O33-P33-Q33-R33,)</f>
        <v>6968</v>
      </c>
      <c r="T33" s="12"/>
      <c r="U33" s="2">
        <v>2000</v>
      </c>
      <c r="V33" s="19">
        <v>10000</v>
      </c>
    </row>
    <row r="34" spans="1:22" s="2" customFormat="1">
      <c r="A34" s="11">
        <f t="shared" si="5"/>
        <v>30</v>
      </c>
      <c r="B34" s="11">
        <v>10586</v>
      </c>
      <c r="C34" s="11" t="s">
        <v>131</v>
      </c>
      <c r="D34" s="12" t="s">
        <v>41</v>
      </c>
      <c r="E34" s="11" t="s">
        <v>132</v>
      </c>
      <c r="F34" s="11" t="s">
        <v>133</v>
      </c>
      <c r="G34" s="11" t="s">
        <v>134</v>
      </c>
      <c r="H34" s="11" t="s">
        <v>130</v>
      </c>
      <c r="I34" s="11">
        <f>17500+2500+1500+1500+2000+2000</f>
        <v>27000</v>
      </c>
      <c r="J34" s="11">
        <v>20</v>
      </c>
      <c r="K34" s="11"/>
      <c r="L34" s="13">
        <f>I34/31*J34</f>
        <v>17419.354838709678</v>
      </c>
      <c r="M34" s="13">
        <f>ROUND(I34/31/12*1*K34,0)</f>
        <v>0</v>
      </c>
      <c r="N34" s="13">
        <v>1500</v>
      </c>
      <c r="O34" s="13">
        <f>SUM(L34:N34)</f>
        <v>18919.354838709678</v>
      </c>
      <c r="P34" s="13">
        <v>0</v>
      </c>
      <c r="Q34" s="13">
        <v>0</v>
      </c>
      <c r="R34" s="13">
        <f>U34+V34-W34</f>
        <v>2000</v>
      </c>
      <c r="S34" s="13">
        <f>ROUND(O34-P34-Q34-R34,)</f>
        <v>16919</v>
      </c>
      <c r="T34" s="12"/>
      <c r="U34" s="2">
        <v>2000</v>
      </c>
    </row>
    <row r="35" spans="1:22" s="2" customFormat="1">
      <c r="A35" s="11">
        <f t="shared" si="5"/>
        <v>31</v>
      </c>
      <c r="B35" s="11">
        <v>10758</v>
      </c>
      <c r="C35" s="11" t="s">
        <v>135</v>
      </c>
      <c r="D35" s="12" t="s">
        <v>41</v>
      </c>
      <c r="E35" s="11" t="s">
        <v>136</v>
      </c>
      <c r="F35" s="11" t="s">
        <v>137</v>
      </c>
      <c r="G35" s="11" t="s">
        <v>138</v>
      </c>
      <c r="H35" s="12" t="s">
        <v>130</v>
      </c>
      <c r="I35" s="11">
        <f>18000+1500+1500+1500+1500+2000+2000</f>
        <v>28000</v>
      </c>
      <c r="J35" s="11">
        <v>27</v>
      </c>
      <c r="K35" s="11"/>
      <c r="L35" s="13">
        <f>I35/31*J35</f>
        <v>24387.096774193549</v>
      </c>
      <c r="M35" s="13">
        <f>ROUND(I35/31/12*1*K35,0)</f>
        <v>0</v>
      </c>
      <c r="N35" s="22">
        <f>1500+600</f>
        <v>2100</v>
      </c>
      <c r="O35" s="13">
        <f>SUM(L35:N35)</f>
        <v>26487.096774193549</v>
      </c>
      <c r="P35" s="13">
        <v>0</v>
      </c>
      <c r="Q35" s="13">
        <v>0</v>
      </c>
      <c r="R35" s="13">
        <f>U35+V35-W35</f>
        <v>2000</v>
      </c>
      <c r="S35" s="13">
        <f>ROUND(O35-P35-Q35-R35,)</f>
        <v>24487</v>
      </c>
      <c r="T35" s="12"/>
      <c r="U35" s="2">
        <v>2000</v>
      </c>
    </row>
    <row r="36" spans="1:22" s="2" customFormat="1">
      <c r="A36" s="11">
        <f t="shared" si="5"/>
        <v>32</v>
      </c>
      <c r="B36" s="11">
        <v>10950</v>
      </c>
      <c r="C36" s="11" t="s">
        <v>139</v>
      </c>
      <c r="D36" s="12" t="s">
        <v>66</v>
      </c>
      <c r="E36" s="11" t="s">
        <v>140</v>
      </c>
      <c r="F36" s="11" t="s">
        <v>141</v>
      </c>
      <c r="G36" s="11" t="s">
        <v>142</v>
      </c>
      <c r="H36" s="11" t="s">
        <v>130</v>
      </c>
      <c r="I36" s="11">
        <f>21000+1000+1500+1500+1500+2000+2000</f>
        <v>30500</v>
      </c>
      <c r="J36" s="16">
        <v>13</v>
      </c>
      <c r="K36" s="16"/>
      <c r="L36" s="13">
        <f>I36/31*J36</f>
        <v>12790.322580645161</v>
      </c>
      <c r="M36" s="13">
        <f>ROUND(I36/31/12*1*K36,0)</f>
        <v>0</v>
      </c>
      <c r="N36" s="13">
        <v>1500</v>
      </c>
      <c r="O36" s="13">
        <f>SUM(L36:N36)</f>
        <v>14290.322580645161</v>
      </c>
      <c r="P36" s="13">
        <v>0</v>
      </c>
      <c r="Q36" s="13">
        <v>0</v>
      </c>
      <c r="R36" s="13">
        <f>U36+V36-W36</f>
        <v>1000</v>
      </c>
      <c r="S36" s="13">
        <f>ROUND(O36-P36-Q36-R36,)</f>
        <v>13290</v>
      </c>
      <c r="T36" s="12"/>
      <c r="U36" s="2">
        <v>1000</v>
      </c>
    </row>
    <row r="37" spans="1:22" s="2" customFormat="1">
      <c r="A37" s="11">
        <f t="shared" si="5"/>
        <v>33</v>
      </c>
      <c r="B37" s="11">
        <v>11550</v>
      </c>
      <c r="C37" s="11" t="s">
        <v>143</v>
      </c>
      <c r="D37" s="11" t="s">
        <v>41</v>
      </c>
      <c r="E37" s="11" t="s">
        <v>144</v>
      </c>
      <c r="F37" s="11" t="s">
        <v>145</v>
      </c>
      <c r="G37" s="11" t="s">
        <v>146</v>
      </c>
      <c r="H37" s="12" t="s">
        <v>130</v>
      </c>
      <c r="I37" s="11">
        <f>19000+2000+1500</f>
        <v>22500</v>
      </c>
      <c r="J37" s="11">
        <v>0</v>
      </c>
      <c r="K37" s="11"/>
      <c r="L37" s="13">
        <f>I37/31*J37</f>
        <v>0</v>
      </c>
      <c r="M37" s="13">
        <f>ROUND(I37/31/12*1*K37,0)</f>
        <v>0</v>
      </c>
      <c r="N37" s="13">
        <v>0</v>
      </c>
      <c r="O37" s="13">
        <f>SUM(L37:N37)</f>
        <v>0</v>
      </c>
      <c r="P37" s="13">
        <v>0</v>
      </c>
      <c r="Q37" s="13">
        <v>0</v>
      </c>
      <c r="R37" s="13">
        <f>U37+V37-W37</f>
        <v>0</v>
      </c>
      <c r="S37" s="13">
        <f>ROUND(O37-P37-Q37-R37,)</f>
        <v>0</v>
      </c>
      <c r="T37" s="14"/>
      <c r="U37" s="2">
        <v>0</v>
      </c>
    </row>
    <row r="38" spans="1:22" s="2" customFormat="1">
      <c r="A38" s="11">
        <f t="shared" si="5"/>
        <v>34</v>
      </c>
      <c r="B38" s="11">
        <v>11719</v>
      </c>
      <c r="C38" s="11" t="s">
        <v>296</v>
      </c>
      <c r="D38" s="26"/>
      <c r="E38" s="12" t="s">
        <v>136</v>
      </c>
      <c r="F38" s="25" t="s">
        <v>297</v>
      </c>
      <c r="G38" s="12" t="s">
        <v>298</v>
      </c>
      <c r="H38" s="12" t="s">
        <v>130</v>
      </c>
      <c r="I38" s="11">
        <f>25000+2000+1000</f>
        <v>28000</v>
      </c>
      <c r="J38" s="11">
        <v>31</v>
      </c>
      <c r="K38" s="11">
        <v>0</v>
      </c>
      <c r="L38" s="13">
        <f>I38/31*J38</f>
        <v>28000</v>
      </c>
      <c r="M38" s="13">
        <f>ROUND(I38/31/12*1*K38,0)</f>
        <v>0</v>
      </c>
      <c r="N38" s="13">
        <v>0</v>
      </c>
      <c r="O38" s="13">
        <f>SUM(L38:N38)</f>
        <v>28000</v>
      </c>
      <c r="P38" s="13">
        <v>0</v>
      </c>
      <c r="Q38" s="13">
        <v>0</v>
      </c>
      <c r="R38" s="13">
        <f>U38+V38-W38</f>
        <v>2000</v>
      </c>
      <c r="S38" s="13">
        <f>ROUND(O38-P38-Q38-R38,)</f>
        <v>26000</v>
      </c>
      <c r="T38" s="14"/>
      <c r="U38" s="2">
        <v>2000</v>
      </c>
    </row>
    <row r="39" spans="1:22" s="2" customFormat="1">
      <c r="A39" s="11">
        <f t="shared" si="5"/>
        <v>35</v>
      </c>
      <c r="B39" s="11">
        <v>11820</v>
      </c>
      <c r="C39" s="12" t="s">
        <v>305</v>
      </c>
      <c r="D39" s="11"/>
      <c r="E39" s="11"/>
      <c r="F39" s="11"/>
      <c r="G39" s="11"/>
      <c r="H39" s="12" t="s">
        <v>130</v>
      </c>
      <c r="I39" s="14">
        <v>28000</v>
      </c>
      <c r="J39" s="11">
        <v>29</v>
      </c>
      <c r="K39" s="11">
        <v>0</v>
      </c>
      <c r="L39" s="13">
        <f>I39/31*J39</f>
        <v>26193.548387096776</v>
      </c>
      <c r="M39" s="13">
        <f>ROUND(I39/31/12*1*K39,0)</f>
        <v>0</v>
      </c>
      <c r="N39" s="13">
        <v>0</v>
      </c>
      <c r="O39" s="13">
        <f>SUM(L39:N39)</f>
        <v>26193.548387096776</v>
      </c>
      <c r="P39" s="13">
        <v>0</v>
      </c>
      <c r="Q39" s="13">
        <v>0</v>
      </c>
      <c r="R39" s="13">
        <f>U39+V39-W39</f>
        <v>14000</v>
      </c>
      <c r="S39" s="13">
        <f>ROUND(O39-P39-Q39-R39,)</f>
        <v>12194</v>
      </c>
      <c r="T39" s="14"/>
      <c r="U39" s="2">
        <v>14000</v>
      </c>
    </row>
    <row r="40" spans="1:22" s="2" customFormat="1">
      <c r="A40" s="11">
        <f t="shared" si="5"/>
        <v>36</v>
      </c>
      <c r="B40" s="11"/>
      <c r="C40" s="12" t="s">
        <v>314</v>
      </c>
      <c r="D40" s="11"/>
      <c r="E40" s="11"/>
      <c r="F40" s="11"/>
      <c r="G40" s="11"/>
      <c r="H40" s="12" t="s">
        <v>130</v>
      </c>
      <c r="I40" s="14">
        <v>30000</v>
      </c>
      <c r="J40" s="11">
        <v>4</v>
      </c>
      <c r="K40" s="11">
        <v>0</v>
      </c>
      <c r="L40" s="13">
        <f>I40/31*J40</f>
        <v>3870.9677419354839</v>
      </c>
      <c r="M40" s="13">
        <f>ROUND(I40/31/12*1*K40,0)</f>
        <v>0</v>
      </c>
      <c r="N40" s="13">
        <v>0</v>
      </c>
      <c r="O40" s="13">
        <f>SUM(L40:N40)</f>
        <v>3870.9677419354839</v>
      </c>
      <c r="P40" s="13">
        <v>0</v>
      </c>
      <c r="Q40" s="13">
        <v>0</v>
      </c>
      <c r="R40" s="13">
        <f>U40+V40-W40</f>
        <v>1000</v>
      </c>
      <c r="S40" s="13">
        <f>ROUND(O40-P40-Q40-R40,)</f>
        <v>2871</v>
      </c>
      <c r="T40" s="14"/>
      <c r="U40" s="2">
        <v>1000</v>
      </c>
    </row>
    <row r="41" spans="1:22" s="2" customFormat="1">
      <c r="A41" s="11">
        <f t="shared" si="5"/>
        <v>37</v>
      </c>
      <c r="B41" s="11">
        <v>11818</v>
      </c>
      <c r="C41" s="11" t="s">
        <v>306</v>
      </c>
      <c r="D41" s="11"/>
      <c r="E41" s="11"/>
      <c r="F41" s="11"/>
      <c r="G41" s="11"/>
      <c r="H41" s="11" t="s">
        <v>80</v>
      </c>
      <c r="I41" s="14">
        <f>37000+8000</f>
        <v>45000</v>
      </c>
      <c r="J41" s="11">
        <v>29</v>
      </c>
      <c r="K41" s="11">
        <v>2</v>
      </c>
      <c r="L41" s="13">
        <f>I41/31*J41</f>
        <v>42096.774193548386</v>
      </c>
      <c r="M41" s="13">
        <f>ROUND(I41/31/12*1*K41,0)</f>
        <v>242</v>
      </c>
      <c r="N41" s="13">
        <v>0</v>
      </c>
      <c r="O41" s="13">
        <f>SUM(L41:N41)</f>
        <v>42338.774193548386</v>
      </c>
      <c r="P41" s="13">
        <v>1800</v>
      </c>
      <c r="Q41" s="13">
        <v>0</v>
      </c>
      <c r="R41" s="13">
        <f>U41+V41-W41</f>
        <v>9500</v>
      </c>
      <c r="S41" s="13">
        <f>ROUND(O41-P41-Q41-R41,)</f>
        <v>31039</v>
      </c>
      <c r="T41" s="14"/>
      <c r="U41" s="2">
        <v>9500</v>
      </c>
    </row>
    <row r="42" spans="1:22" s="2" customFormat="1">
      <c r="A42" s="11">
        <f t="shared" si="5"/>
        <v>38</v>
      </c>
      <c r="B42" s="11">
        <v>16</v>
      </c>
      <c r="C42" s="11" t="s">
        <v>147</v>
      </c>
      <c r="D42" s="12" t="s">
        <v>71</v>
      </c>
      <c r="E42" s="11" t="s">
        <v>27</v>
      </c>
      <c r="F42" s="11" t="s">
        <v>148</v>
      </c>
      <c r="G42" s="11" t="s">
        <v>73</v>
      </c>
      <c r="H42" s="11" t="s">
        <v>149</v>
      </c>
      <c r="I42" s="11">
        <f>310+20+30+20+30+50+40</f>
        <v>500</v>
      </c>
      <c r="J42" s="11">
        <v>17</v>
      </c>
      <c r="K42" s="11">
        <v>48</v>
      </c>
      <c r="L42" s="13">
        <f>I42*J42</f>
        <v>8500</v>
      </c>
      <c r="M42" s="13">
        <f>I42/8*2*K42</f>
        <v>6000</v>
      </c>
      <c r="N42" s="13">
        <v>600</v>
      </c>
      <c r="O42" s="13">
        <f>SUM(L42:N42)</f>
        <v>15100</v>
      </c>
      <c r="P42" s="13">
        <v>1123</v>
      </c>
      <c r="Q42" s="23">
        <v>0</v>
      </c>
      <c r="R42" s="13">
        <f>U42+V42-W42</f>
        <v>7000</v>
      </c>
      <c r="S42" s="13">
        <f>ROUND(O42-P42-Q42-R42,)</f>
        <v>6977</v>
      </c>
      <c r="T42" s="14"/>
      <c r="U42" s="2">
        <v>2000</v>
      </c>
      <c r="V42" s="19">
        <v>5000</v>
      </c>
    </row>
    <row r="43" spans="1:22" s="2" customFormat="1">
      <c r="A43" s="11">
        <f t="shared" si="5"/>
        <v>39</v>
      </c>
      <c r="B43" s="11">
        <v>10488</v>
      </c>
      <c r="C43" s="11" t="s">
        <v>150</v>
      </c>
      <c r="D43" s="12" t="s">
        <v>41</v>
      </c>
      <c r="E43" s="11" t="s">
        <v>151</v>
      </c>
      <c r="F43" s="11" t="s">
        <v>152</v>
      </c>
      <c r="G43" s="11" t="s">
        <v>153</v>
      </c>
      <c r="H43" s="11" t="s">
        <v>149</v>
      </c>
      <c r="I43" s="11">
        <f>310+20+30+20+20+20+20</f>
        <v>440</v>
      </c>
      <c r="J43" s="11">
        <v>5</v>
      </c>
      <c r="K43" s="11">
        <v>13</v>
      </c>
      <c r="L43" s="13">
        <f>I43*J43</f>
        <v>2200</v>
      </c>
      <c r="M43" s="13">
        <f>I43/8*2*K43</f>
        <v>1430</v>
      </c>
      <c r="N43" s="13">
        <v>0</v>
      </c>
      <c r="O43" s="13">
        <f>SUM(L43:N43)</f>
        <v>3630</v>
      </c>
      <c r="P43" s="13">
        <v>0</v>
      </c>
      <c r="Q43" s="13">
        <v>0</v>
      </c>
      <c r="R43" s="13">
        <f>U43+V43-W43</f>
        <v>0</v>
      </c>
      <c r="S43" s="13">
        <f>ROUND(O43-P43-Q43-R43,)</f>
        <v>3630</v>
      </c>
      <c r="T43" s="14"/>
      <c r="U43" s="2">
        <v>0</v>
      </c>
    </row>
    <row r="44" spans="1:22" s="2" customFormat="1">
      <c r="A44" s="11">
        <f t="shared" si="5"/>
        <v>40</v>
      </c>
      <c r="B44" s="11">
        <v>11618</v>
      </c>
      <c r="C44" s="11" t="s">
        <v>174</v>
      </c>
      <c r="D44" s="12" t="s">
        <v>41</v>
      </c>
      <c r="E44" s="12" t="s">
        <v>175</v>
      </c>
      <c r="F44" s="25" t="s">
        <v>176</v>
      </c>
      <c r="G44" s="12" t="s">
        <v>177</v>
      </c>
      <c r="H44" s="12" t="s">
        <v>149</v>
      </c>
      <c r="I44" s="11">
        <f>16000+2000+1000</f>
        <v>19000</v>
      </c>
      <c r="J44" s="11">
        <v>30.5</v>
      </c>
      <c r="K44" s="11">
        <v>0</v>
      </c>
      <c r="L44" s="13">
        <f>I44/31*J44</f>
        <v>18693.548387096773</v>
      </c>
      <c r="M44" s="13">
        <f>ROUND(I44/31/12*1*K44,0)</f>
        <v>0</v>
      </c>
      <c r="N44" s="13">
        <v>0</v>
      </c>
      <c r="O44" s="13">
        <f>SUM(L44:N44)</f>
        <v>18693.548387096773</v>
      </c>
      <c r="P44" s="13">
        <v>0</v>
      </c>
      <c r="Q44" s="13">
        <v>0</v>
      </c>
      <c r="R44" s="13">
        <f>U44+V44-W44</f>
        <v>2000</v>
      </c>
      <c r="S44" s="13">
        <f>ROUND(O44-P44-Q44-R44,)</f>
        <v>16694</v>
      </c>
      <c r="T44" s="14"/>
      <c r="U44" s="2">
        <v>2000</v>
      </c>
    </row>
    <row r="45" spans="1:22" s="2" customFormat="1">
      <c r="A45" s="11">
        <f t="shared" si="5"/>
        <v>41</v>
      </c>
      <c r="B45" s="11">
        <v>10542</v>
      </c>
      <c r="C45" s="11" t="s">
        <v>154</v>
      </c>
      <c r="D45" s="12" t="s">
        <v>41</v>
      </c>
      <c r="E45" s="11" t="s">
        <v>155</v>
      </c>
      <c r="F45" s="11" t="s">
        <v>156</v>
      </c>
      <c r="G45" s="11" t="s">
        <v>157</v>
      </c>
      <c r="H45" s="11" t="s">
        <v>158</v>
      </c>
      <c r="I45" s="11">
        <f>16800+1700+1500+1000+1000+500+500</f>
        <v>23000</v>
      </c>
      <c r="J45" s="11">
        <v>24</v>
      </c>
      <c r="K45" s="11">
        <v>0</v>
      </c>
      <c r="L45" s="13">
        <f>I45/31*J45</f>
        <v>17806.451612903224</v>
      </c>
      <c r="M45" s="13">
        <f>ROUND(I45/31/12*1*K45,0)</f>
        <v>0</v>
      </c>
      <c r="N45" s="13">
        <f>+J45*50*2</f>
        <v>2400</v>
      </c>
      <c r="O45" s="13">
        <f>SUM(L45:N45)</f>
        <v>20206.451612903224</v>
      </c>
      <c r="P45" s="13">
        <v>0</v>
      </c>
      <c r="Q45" s="13">
        <v>0</v>
      </c>
      <c r="R45" s="13">
        <f>U45+V45-W45</f>
        <v>2000</v>
      </c>
      <c r="S45" s="13">
        <f>ROUND(O45-P45-Q45-R45,)</f>
        <v>18206</v>
      </c>
      <c r="T45" s="14"/>
      <c r="U45" s="2">
        <v>2000</v>
      </c>
    </row>
    <row r="46" spans="1:22" s="2" customFormat="1">
      <c r="A46" s="11">
        <f t="shared" si="5"/>
        <v>42</v>
      </c>
      <c r="B46" s="11">
        <v>11428</v>
      </c>
      <c r="C46" s="11" t="s">
        <v>159</v>
      </c>
      <c r="D46" s="12" t="s">
        <v>41</v>
      </c>
      <c r="E46" s="11" t="s">
        <v>160</v>
      </c>
      <c r="F46" s="11" t="s">
        <v>161</v>
      </c>
      <c r="G46" s="11" t="s">
        <v>162</v>
      </c>
      <c r="H46" s="12" t="s">
        <v>158</v>
      </c>
      <c r="I46" s="11">
        <f>18500+1000+1000+1500+1000+1000</f>
        <v>24000</v>
      </c>
      <c r="J46" s="11">
        <v>4</v>
      </c>
      <c r="K46" s="11">
        <v>0</v>
      </c>
      <c r="L46" s="13">
        <f>I46/31*J46</f>
        <v>3096.7741935483873</v>
      </c>
      <c r="M46" s="13">
        <f>ROUND(I46/31/12*1*K46,0)</f>
        <v>0</v>
      </c>
      <c r="N46" s="13">
        <v>0</v>
      </c>
      <c r="O46" s="13">
        <f>SUM(L46:N46)</f>
        <v>3096.7741935483873</v>
      </c>
      <c r="P46" s="13">
        <v>0</v>
      </c>
      <c r="Q46" s="13">
        <v>0</v>
      </c>
      <c r="R46" s="13">
        <f>U46+V46-W46</f>
        <v>0</v>
      </c>
      <c r="S46" s="13">
        <f>ROUND(O46-P46-Q46-R46,)</f>
        <v>3097</v>
      </c>
      <c r="T46" s="14"/>
      <c r="U46" s="2">
        <v>0</v>
      </c>
    </row>
    <row r="47" spans="1:22" s="2" customFormat="1">
      <c r="A47" s="11">
        <f t="shared" si="5"/>
        <v>43</v>
      </c>
      <c r="B47" s="11"/>
      <c r="C47" s="11" t="s">
        <v>163</v>
      </c>
      <c r="D47" s="12" t="s">
        <v>36</v>
      </c>
      <c r="E47" s="11" t="s">
        <v>27</v>
      </c>
      <c r="F47" s="11" t="s">
        <v>164</v>
      </c>
      <c r="G47" s="11" t="s">
        <v>38</v>
      </c>
      <c r="H47" s="11" t="s">
        <v>104</v>
      </c>
      <c r="I47" s="11">
        <f>4500+500+500+500</f>
        <v>6000</v>
      </c>
      <c r="J47" s="16">
        <v>31</v>
      </c>
      <c r="K47" s="11">
        <v>0</v>
      </c>
      <c r="L47" s="13">
        <f>I47/31*J47</f>
        <v>6000</v>
      </c>
      <c r="M47" s="13">
        <f>ROUND(I47/31/12*1*K47,0)</f>
        <v>0</v>
      </c>
      <c r="N47" s="13">
        <v>0</v>
      </c>
      <c r="O47" s="13">
        <f>SUM(L47:N47)</f>
        <v>6000</v>
      </c>
      <c r="P47" s="13">
        <v>0</v>
      </c>
      <c r="Q47" s="13">
        <v>0</v>
      </c>
      <c r="R47" s="13">
        <f>U47+V47-W47</f>
        <v>0</v>
      </c>
      <c r="S47" s="13">
        <f>ROUND(O47-P47-Q47-R47,)</f>
        <v>6000</v>
      </c>
      <c r="T47" s="14"/>
      <c r="U47" s="2">
        <v>0</v>
      </c>
    </row>
    <row r="48" spans="1:22" s="2" customFormat="1">
      <c r="A48" s="11">
        <f t="shared" si="5"/>
        <v>44</v>
      </c>
      <c r="B48" s="11">
        <v>11571</v>
      </c>
      <c r="C48" s="11" t="s">
        <v>165</v>
      </c>
      <c r="D48" s="14"/>
      <c r="E48" s="11" t="s">
        <v>124</v>
      </c>
      <c r="F48" s="11" t="s">
        <v>166</v>
      </c>
      <c r="G48" s="11" t="s">
        <v>167</v>
      </c>
      <c r="H48" s="12" t="s">
        <v>104</v>
      </c>
      <c r="I48" s="11">
        <f>14000+1000+1000+1500+500</f>
        <v>18000</v>
      </c>
      <c r="J48" s="11">
        <v>25.5</v>
      </c>
      <c r="K48" s="16">
        <v>0</v>
      </c>
      <c r="L48" s="13">
        <f>I48/31*J48</f>
        <v>14806.451612903225</v>
      </c>
      <c r="M48" s="13">
        <f>ROUND(I48/31/12*1*K48,0)</f>
        <v>0</v>
      </c>
      <c r="N48" s="13">
        <v>0</v>
      </c>
      <c r="O48" s="13">
        <f>SUM(L48:N48)</f>
        <v>14806.451612903225</v>
      </c>
      <c r="P48" s="13">
        <v>0</v>
      </c>
      <c r="Q48" s="13">
        <v>0</v>
      </c>
      <c r="R48" s="13">
        <f>U48+V48-W48</f>
        <v>11400</v>
      </c>
      <c r="S48" s="13">
        <f>ROUND(O48-P48-Q48-R48,)</f>
        <v>3406</v>
      </c>
      <c r="T48" s="14"/>
      <c r="U48" s="2">
        <v>1400</v>
      </c>
      <c r="V48" s="19">
        <v>10000</v>
      </c>
    </row>
    <row r="49" spans="1:22" s="2" customFormat="1">
      <c r="A49" s="11">
        <f t="shared" si="5"/>
        <v>45</v>
      </c>
      <c r="B49" s="11">
        <v>11048</v>
      </c>
      <c r="C49" s="11" t="s">
        <v>290</v>
      </c>
      <c r="D49" s="26"/>
      <c r="E49" s="12" t="s">
        <v>27</v>
      </c>
      <c r="F49" s="25" t="s">
        <v>291</v>
      </c>
      <c r="G49" s="12" t="s">
        <v>38</v>
      </c>
      <c r="H49" s="12" t="s">
        <v>104</v>
      </c>
      <c r="I49" s="12">
        <f>16000+1000</f>
        <v>17000</v>
      </c>
      <c r="J49" s="11">
        <v>30</v>
      </c>
      <c r="K49" s="11">
        <v>0</v>
      </c>
      <c r="L49" s="13">
        <f>I49/31*J49</f>
        <v>16451.612903225807</v>
      </c>
      <c r="M49" s="13">
        <f>ROUND(I49/31/12*1*K49,0)</f>
        <v>0</v>
      </c>
      <c r="N49" s="13">
        <v>0</v>
      </c>
      <c r="O49" s="13">
        <f>SUM(L49:N49)</f>
        <v>16451.612903225807</v>
      </c>
      <c r="P49" s="13">
        <v>0</v>
      </c>
      <c r="Q49" s="13">
        <v>0</v>
      </c>
      <c r="R49" s="13">
        <f>U49+V49-W49</f>
        <v>8000</v>
      </c>
      <c r="S49" s="13">
        <f>ROUND(O49-P49-Q49-R49,)</f>
        <v>8452</v>
      </c>
      <c r="T49" s="14"/>
      <c r="U49" s="2">
        <v>8000</v>
      </c>
    </row>
    <row r="50" spans="1:22" s="2" customFormat="1">
      <c r="A50" s="11">
        <f t="shared" si="5"/>
        <v>46</v>
      </c>
      <c r="B50" s="11"/>
      <c r="C50" s="12" t="s">
        <v>303</v>
      </c>
      <c r="D50" s="11"/>
      <c r="E50" s="11"/>
      <c r="F50" s="11"/>
      <c r="G50" s="11"/>
      <c r="H50" s="12" t="s">
        <v>104</v>
      </c>
      <c r="I50" s="14">
        <v>300</v>
      </c>
      <c r="J50" s="11">
        <v>29</v>
      </c>
      <c r="K50" s="11">
        <v>72</v>
      </c>
      <c r="L50" s="13">
        <f>I50*J50</f>
        <v>8700</v>
      </c>
      <c r="M50" s="13">
        <f>I50/8*2*K50</f>
        <v>5400</v>
      </c>
      <c r="N50" s="13">
        <v>0</v>
      </c>
      <c r="O50" s="13">
        <f>SUM(L50:N50)</f>
        <v>14100</v>
      </c>
      <c r="P50" s="13">
        <v>0</v>
      </c>
      <c r="Q50" s="13">
        <v>0</v>
      </c>
      <c r="R50" s="13">
        <f>U50+V50-W50</f>
        <v>8100</v>
      </c>
      <c r="S50" s="13">
        <f>ROUND(O50-P50-Q50-R50,)</f>
        <v>6000</v>
      </c>
      <c r="T50" s="14"/>
      <c r="U50" s="2">
        <v>8100</v>
      </c>
    </row>
    <row r="51" spans="1:22" s="2" customFormat="1">
      <c r="A51" s="11">
        <f t="shared" si="5"/>
        <v>47</v>
      </c>
      <c r="B51" s="11">
        <v>11817</v>
      </c>
      <c r="C51" s="12" t="s">
        <v>304</v>
      </c>
      <c r="D51" s="11"/>
      <c r="E51" s="11"/>
      <c r="F51" s="11"/>
      <c r="G51" s="11"/>
      <c r="H51" s="12" t="s">
        <v>104</v>
      </c>
      <c r="I51" s="14">
        <v>300</v>
      </c>
      <c r="J51" s="11">
        <v>29</v>
      </c>
      <c r="K51" s="11">
        <v>71</v>
      </c>
      <c r="L51" s="13">
        <f>I51*J51</f>
        <v>8700</v>
      </c>
      <c r="M51" s="13">
        <f>I51/8*2*K51</f>
        <v>5325</v>
      </c>
      <c r="N51" s="13">
        <v>0</v>
      </c>
      <c r="O51" s="13">
        <f>SUM(L51:N51)</f>
        <v>14025</v>
      </c>
      <c r="P51" s="13">
        <v>0</v>
      </c>
      <c r="Q51" s="13">
        <v>0</v>
      </c>
      <c r="R51" s="13">
        <f>U51+V51-W51</f>
        <v>8100</v>
      </c>
      <c r="S51" s="13">
        <f>ROUND(O51-P51-Q51-R51,)</f>
        <v>5925</v>
      </c>
      <c r="T51" s="14"/>
      <c r="U51" s="2">
        <v>8100</v>
      </c>
    </row>
    <row r="52" spans="1:22" s="2" customFormat="1">
      <c r="A52" s="11">
        <f t="shared" si="5"/>
        <v>48</v>
      </c>
      <c r="B52" s="11">
        <v>11804</v>
      </c>
      <c r="C52" s="11" t="s">
        <v>309</v>
      </c>
      <c r="D52" s="11"/>
      <c r="E52" s="11"/>
      <c r="F52" s="11"/>
      <c r="G52" s="11"/>
      <c r="H52" s="12" t="s">
        <v>104</v>
      </c>
      <c r="I52" s="14">
        <v>17000</v>
      </c>
      <c r="J52" s="11">
        <v>16</v>
      </c>
      <c r="K52" s="11">
        <v>0</v>
      </c>
      <c r="L52" s="13">
        <f>I52/31*J52</f>
        <v>8774.1935483870966</v>
      </c>
      <c r="M52" s="13">
        <f>ROUND(I52/31/12*1*K52,0)</f>
        <v>0</v>
      </c>
      <c r="N52" s="13">
        <v>0</v>
      </c>
      <c r="O52" s="13">
        <f>SUM(L52:N52)</f>
        <v>8774.1935483870966</v>
      </c>
      <c r="P52" s="13">
        <v>0</v>
      </c>
      <c r="Q52" s="13">
        <v>0</v>
      </c>
      <c r="R52" s="13">
        <f>U52+V52-W52</f>
        <v>1700</v>
      </c>
      <c r="S52" s="13">
        <f>ROUND(O52-P52-Q52-R52,)</f>
        <v>7074</v>
      </c>
      <c r="T52" s="14"/>
      <c r="U52" s="2">
        <v>1700</v>
      </c>
    </row>
    <row r="53" spans="1:22" s="2" customFormat="1">
      <c r="A53" s="11">
        <f t="shared" si="5"/>
        <v>49</v>
      </c>
      <c r="B53" s="11">
        <v>11806</v>
      </c>
      <c r="C53" s="11" t="s">
        <v>310</v>
      </c>
      <c r="D53" s="11"/>
      <c r="E53" s="11"/>
      <c r="F53" s="11"/>
      <c r="G53" s="11"/>
      <c r="H53" s="12" t="s">
        <v>104</v>
      </c>
      <c r="I53" s="14">
        <v>17000</v>
      </c>
      <c r="J53" s="11">
        <v>16</v>
      </c>
      <c r="K53" s="11">
        <v>0</v>
      </c>
      <c r="L53" s="13">
        <f>I53/31*J53</f>
        <v>8774.1935483870966</v>
      </c>
      <c r="M53" s="13">
        <f>ROUND(I53/31/12*1*K53,0)</f>
        <v>0</v>
      </c>
      <c r="N53" s="13">
        <v>0</v>
      </c>
      <c r="O53" s="13">
        <f>SUM(L53:N53)</f>
        <v>8774.1935483870966</v>
      </c>
      <c r="P53" s="13">
        <v>0</v>
      </c>
      <c r="Q53" s="13">
        <v>0</v>
      </c>
      <c r="R53" s="13">
        <f>U53+V53-W53</f>
        <v>2000</v>
      </c>
      <c r="S53" s="13">
        <f>ROUND(O53-P53-Q53-R53,)</f>
        <v>6774</v>
      </c>
      <c r="T53" s="14"/>
      <c r="U53" s="2">
        <v>2000</v>
      </c>
    </row>
    <row r="54" spans="1:22" s="2" customFormat="1">
      <c r="A54" s="11">
        <f t="shared" si="5"/>
        <v>50</v>
      </c>
      <c r="B54" s="11">
        <v>11807</v>
      </c>
      <c r="C54" s="11" t="s">
        <v>311</v>
      </c>
      <c r="D54" s="11"/>
      <c r="E54" s="11"/>
      <c r="F54" s="11"/>
      <c r="G54" s="11"/>
      <c r="H54" s="12" t="s">
        <v>104</v>
      </c>
      <c r="I54" s="14">
        <v>16000</v>
      </c>
      <c r="J54" s="11">
        <v>12</v>
      </c>
      <c r="K54" s="11">
        <v>0</v>
      </c>
      <c r="L54" s="13">
        <f>I54/31*J54</f>
        <v>6193.5483870967746</v>
      </c>
      <c r="M54" s="13">
        <f>ROUND(I54/31/12*1*K54,0)</f>
        <v>0</v>
      </c>
      <c r="N54" s="13">
        <v>0</v>
      </c>
      <c r="O54" s="13">
        <f>SUM(L54:N54)</f>
        <v>6193.5483870967746</v>
      </c>
      <c r="P54" s="13">
        <v>0</v>
      </c>
      <c r="Q54" s="13">
        <v>0</v>
      </c>
      <c r="R54" s="13">
        <f>U54+V54-W54</f>
        <v>5000</v>
      </c>
      <c r="S54" s="13">
        <f>ROUND(O54-P54-Q54-R54,)</f>
        <v>1194</v>
      </c>
      <c r="T54" s="14"/>
      <c r="U54" s="2">
        <v>2000</v>
      </c>
      <c r="V54" s="19">
        <f>1000+2000</f>
        <v>3000</v>
      </c>
    </row>
    <row r="55" spans="1:22" s="2" customFormat="1">
      <c r="A55" s="11">
        <f t="shared" si="5"/>
        <v>51</v>
      </c>
      <c r="B55" s="11">
        <v>11805</v>
      </c>
      <c r="C55" s="12" t="s">
        <v>313</v>
      </c>
      <c r="D55" s="11"/>
      <c r="E55" s="11"/>
      <c r="F55" s="11"/>
      <c r="G55" s="11"/>
      <c r="H55" s="12" t="s">
        <v>104</v>
      </c>
      <c r="I55" s="14">
        <v>17000</v>
      </c>
      <c r="J55" s="11">
        <v>14</v>
      </c>
      <c r="K55" s="11">
        <v>0</v>
      </c>
      <c r="L55" s="13">
        <f>I55/31*J55</f>
        <v>7677.4193548387093</v>
      </c>
      <c r="M55" s="13">
        <f>ROUND(I55/31/12*1*K55,0)</f>
        <v>0</v>
      </c>
      <c r="N55" s="13">
        <v>0</v>
      </c>
      <c r="O55" s="13">
        <f>SUM(L55:N55)</f>
        <v>7677.4193548387093</v>
      </c>
      <c r="P55" s="13">
        <v>0</v>
      </c>
      <c r="Q55" s="13">
        <v>0</v>
      </c>
      <c r="R55" s="13">
        <f>U55+V55-W55</f>
        <v>2000</v>
      </c>
      <c r="S55" s="13">
        <f>ROUND(O55-P55-Q55-R55,)</f>
        <v>5677</v>
      </c>
      <c r="T55" s="14"/>
      <c r="U55" s="2">
        <v>2000</v>
      </c>
    </row>
    <row r="56" spans="1:22" s="2" customFormat="1">
      <c r="A56" s="11">
        <f t="shared" si="5"/>
        <v>52</v>
      </c>
      <c r="B56" s="11">
        <v>11701</v>
      </c>
      <c r="C56" s="11" t="s">
        <v>292</v>
      </c>
      <c r="D56" s="26"/>
      <c r="E56" s="12" t="s">
        <v>293</v>
      </c>
      <c r="F56" s="25" t="s">
        <v>294</v>
      </c>
      <c r="G56" s="12" t="s">
        <v>295</v>
      </c>
      <c r="H56" s="12" t="s">
        <v>99</v>
      </c>
      <c r="I56" s="11">
        <f>27000+1000+1500</f>
        <v>29500</v>
      </c>
      <c r="J56" s="11">
        <v>31</v>
      </c>
      <c r="K56" s="11">
        <v>0</v>
      </c>
      <c r="L56" s="13">
        <f>I56/31*J56</f>
        <v>29500</v>
      </c>
      <c r="M56" s="13">
        <f>ROUND(I56/31/12*1*K56,0)</f>
        <v>0</v>
      </c>
      <c r="N56" s="13">
        <v>1000</v>
      </c>
      <c r="O56" s="13">
        <f>SUM(L56:N56)</f>
        <v>30500</v>
      </c>
      <c r="P56" s="13">
        <v>0</v>
      </c>
      <c r="Q56" s="13">
        <v>0</v>
      </c>
      <c r="R56" s="13">
        <f>U56+V56-W56</f>
        <v>2000</v>
      </c>
      <c r="S56" s="13">
        <f>ROUND(O56-P56-Q56-R56,)</f>
        <v>28500</v>
      </c>
      <c r="T56" s="14"/>
      <c r="U56" s="2">
        <v>2000</v>
      </c>
    </row>
    <row r="57" spans="1:22" s="2" customFormat="1">
      <c r="A57" s="11">
        <f t="shared" si="5"/>
        <v>53</v>
      </c>
      <c r="B57" s="11">
        <v>10480</v>
      </c>
      <c r="C57" s="11" t="s">
        <v>178</v>
      </c>
      <c r="D57" s="12" t="s">
        <v>36</v>
      </c>
      <c r="E57" s="11" t="s">
        <v>27</v>
      </c>
      <c r="F57" s="11" t="s">
        <v>179</v>
      </c>
      <c r="G57" s="11" t="s">
        <v>38</v>
      </c>
      <c r="H57" s="11" t="s">
        <v>180</v>
      </c>
      <c r="I57" s="11">
        <f>260+20+30+20+30+30+30</f>
        <v>420</v>
      </c>
      <c r="J57" s="11">
        <v>26</v>
      </c>
      <c r="K57" s="11">
        <v>64</v>
      </c>
      <c r="L57" s="13">
        <f>I57*J57</f>
        <v>10920</v>
      </c>
      <c r="M57" s="13">
        <f>I57/8*2*K57</f>
        <v>6720</v>
      </c>
      <c r="N57" s="13">
        <v>0</v>
      </c>
      <c r="O57" s="13">
        <f>SUM(L57:N57)</f>
        <v>17640</v>
      </c>
      <c r="P57" s="13">
        <v>0</v>
      </c>
      <c r="Q57" s="13">
        <v>0</v>
      </c>
      <c r="R57" s="13">
        <f>U57+V57-W57</f>
        <v>1400</v>
      </c>
      <c r="S57" s="13">
        <f>ROUND(O57-P57-Q57-R57,)</f>
        <v>16240</v>
      </c>
      <c r="T57" s="12"/>
      <c r="U57" s="2">
        <v>1400</v>
      </c>
    </row>
    <row r="58" spans="1:22" s="2" customFormat="1">
      <c r="A58" s="11">
        <f t="shared" si="5"/>
        <v>54</v>
      </c>
      <c r="B58" s="11">
        <v>11531</v>
      </c>
      <c r="C58" s="12" t="s">
        <v>181</v>
      </c>
      <c r="D58" s="12" t="s">
        <v>182</v>
      </c>
      <c r="E58" s="12" t="s">
        <v>160</v>
      </c>
      <c r="F58" s="25" t="s">
        <v>183</v>
      </c>
      <c r="G58" s="12" t="s">
        <v>184</v>
      </c>
      <c r="H58" s="12" t="s">
        <v>180</v>
      </c>
      <c r="I58" s="14">
        <v>16000</v>
      </c>
      <c r="J58" s="11">
        <v>22</v>
      </c>
      <c r="K58" s="11">
        <v>0</v>
      </c>
      <c r="L58" s="13">
        <f>I58/31*J58</f>
        <v>11354.838709677419</v>
      </c>
      <c r="M58" s="13">
        <f>ROUND(I58/31/12*1*K58,0)</f>
        <v>0</v>
      </c>
      <c r="N58" s="13">
        <v>0</v>
      </c>
      <c r="O58" s="13">
        <f>SUM(L58:N58)</f>
        <v>11354.838709677419</v>
      </c>
      <c r="P58" s="13">
        <v>0</v>
      </c>
      <c r="Q58" s="13">
        <v>0</v>
      </c>
      <c r="R58" s="13">
        <f>U58+V58-W58</f>
        <v>7000</v>
      </c>
      <c r="S58" s="13">
        <f>ROUND(O58-P58-Q58-R58,)</f>
        <v>4355</v>
      </c>
      <c r="T58" s="14"/>
      <c r="U58" s="2">
        <v>2000</v>
      </c>
      <c r="V58" s="19">
        <v>5000</v>
      </c>
    </row>
    <row r="59" spans="1:22" s="2" customFormat="1">
      <c r="A59" s="11">
        <f t="shared" si="5"/>
        <v>55</v>
      </c>
      <c r="B59" s="11">
        <v>11411</v>
      </c>
      <c r="C59" s="11" t="s">
        <v>185</v>
      </c>
      <c r="D59" s="11" t="s">
        <v>186</v>
      </c>
      <c r="E59" s="11" t="s">
        <v>187</v>
      </c>
      <c r="F59" s="11" t="s">
        <v>188</v>
      </c>
      <c r="G59" s="11" t="s">
        <v>189</v>
      </c>
      <c r="H59" s="12" t="s">
        <v>180</v>
      </c>
      <c r="I59" s="11">
        <f>275+25+30+30</f>
        <v>360</v>
      </c>
      <c r="J59" s="11">
        <v>31</v>
      </c>
      <c r="K59" s="11">
        <v>81</v>
      </c>
      <c r="L59" s="13">
        <f>I59*J59</f>
        <v>11160</v>
      </c>
      <c r="M59" s="13">
        <f>I59/8*2*K59</f>
        <v>7290</v>
      </c>
      <c r="N59" s="13">
        <v>0</v>
      </c>
      <c r="O59" s="13">
        <f>SUM(L59:N59)</f>
        <v>18450</v>
      </c>
      <c r="P59" s="13">
        <v>0</v>
      </c>
      <c r="Q59" s="13">
        <v>0</v>
      </c>
      <c r="R59" s="13">
        <f>U59+V59-W59</f>
        <v>1400</v>
      </c>
      <c r="S59" s="13">
        <f>ROUND(O59-P59-Q59-R59,)</f>
        <v>17050</v>
      </c>
      <c r="T59" s="14"/>
      <c r="U59" s="2">
        <v>1400</v>
      </c>
    </row>
    <row r="60" spans="1:22" s="2" customFormat="1">
      <c r="A60" s="11">
        <f t="shared" si="5"/>
        <v>56</v>
      </c>
      <c r="B60" s="11"/>
      <c r="C60" s="11" t="s">
        <v>190</v>
      </c>
      <c r="D60" s="11" t="s">
        <v>41</v>
      </c>
      <c r="E60" s="11" t="s">
        <v>175</v>
      </c>
      <c r="F60" s="11" t="s">
        <v>191</v>
      </c>
      <c r="G60" s="11" t="s">
        <v>177</v>
      </c>
      <c r="H60" s="12" t="s">
        <v>180</v>
      </c>
      <c r="I60" s="11">
        <f>15500+1500+1000</f>
        <v>18000</v>
      </c>
      <c r="J60" s="11">
        <v>30</v>
      </c>
      <c r="K60" s="16">
        <v>0</v>
      </c>
      <c r="L60" s="13">
        <f>I60/31*J60</f>
        <v>17419.354838709678</v>
      </c>
      <c r="M60" s="13">
        <f>ROUND(I60/31/12*1*K60,0)</f>
        <v>0</v>
      </c>
      <c r="N60" s="13">
        <v>0</v>
      </c>
      <c r="O60" s="13">
        <f>SUM(L60:N60)</f>
        <v>17419.354838709678</v>
      </c>
      <c r="P60" s="13">
        <v>0</v>
      </c>
      <c r="Q60" s="13">
        <v>0</v>
      </c>
      <c r="R60" s="13">
        <f>U60+V60-W60</f>
        <v>2000</v>
      </c>
      <c r="S60" s="13">
        <f>ROUND(O60-P60-Q60-R60,)</f>
        <v>15419</v>
      </c>
      <c r="T60" s="14"/>
      <c r="U60" s="2">
        <v>2000</v>
      </c>
    </row>
    <row r="61" spans="1:22" s="2" customFormat="1">
      <c r="A61" s="11">
        <f t="shared" si="5"/>
        <v>57</v>
      </c>
      <c r="B61" s="11">
        <v>11676</v>
      </c>
      <c r="C61" s="11" t="s">
        <v>192</v>
      </c>
      <c r="D61" s="11"/>
      <c r="E61" s="12" t="s">
        <v>193</v>
      </c>
      <c r="F61" s="25" t="s">
        <v>194</v>
      </c>
      <c r="G61" s="12" t="s">
        <v>195</v>
      </c>
      <c r="H61" s="26" t="s">
        <v>180</v>
      </c>
      <c r="I61" s="11">
        <v>21000</v>
      </c>
      <c r="J61" s="11">
        <v>15</v>
      </c>
      <c r="K61" s="11">
        <v>0</v>
      </c>
      <c r="L61" s="13">
        <f>I61/31*J61</f>
        <v>10161.290322580644</v>
      </c>
      <c r="M61" s="13">
        <f>I61/8*2*K61</f>
        <v>0</v>
      </c>
      <c r="N61" s="13">
        <v>0</v>
      </c>
      <c r="O61" s="13">
        <f>SUM(L61:N61)</f>
        <v>10161.290322580644</v>
      </c>
      <c r="P61" s="13">
        <v>0</v>
      </c>
      <c r="Q61" s="13">
        <v>0</v>
      </c>
      <c r="R61" s="13">
        <f>U61+V61-W61</f>
        <v>1700</v>
      </c>
      <c r="S61" s="13">
        <f>ROUND(O61-P61-Q61-R61,)</f>
        <v>8461</v>
      </c>
      <c r="T61" s="14"/>
      <c r="U61" s="2">
        <v>1700</v>
      </c>
    </row>
    <row r="62" spans="1:22" s="2" customFormat="1">
      <c r="A62" s="11">
        <f t="shared" si="5"/>
        <v>58</v>
      </c>
      <c r="B62" s="11">
        <v>11821</v>
      </c>
      <c r="C62" s="11" t="s">
        <v>312</v>
      </c>
      <c r="D62" s="11"/>
      <c r="E62" s="11"/>
      <c r="F62" s="11"/>
      <c r="G62" s="11"/>
      <c r="H62" s="12" t="s">
        <v>180</v>
      </c>
      <c r="I62" s="32">
        <v>23000</v>
      </c>
      <c r="J62" s="11">
        <v>15</v>
      </c>
      <c r="K62" s="11">
        <v>0</v>
      </c>
      <c r="L62" s="13">
        <f>I62/31*J62</f>
        <v>11129.032258064515</v>
      </c>
      <c r="M62" s="13">
        <f>ROUND(I62/31/12*1*K62,0)</f>
        <v>0</v>
      </c>
      <c r="N62" s="13">
        <v>0</v>
      </c>
      <c r="O62" s="13">
        <f>SUM(L62:N62)</f>
        <v>11129.032258064515</v>
      </c>
      <c r="P62" s="13">
        <v>0</v>
      </c>
      <c r="Q62" s="13">
        <v>0</v>
      </c>
      <c r="R62" s="13">
        <f>U62+V62-W62</f>
        <v>2000</v>
      </c>
      <c r="S62" s="13">
        <f>ROUND(O62-P62-Q62-R62,)</f>
        <v>9129</v>
      </c>
      <c r="T62" s="14"/>
      <c r="U62" s="2">
        <v>2000</v>
      </c>
    </row>
    <row r="63" spans="1:22" s="2" customFormat="1">
      <c r="A63" s="11">
        <f t="shared" si="5"/>
        <v>59</v>
      </c>
      <c r="B63" s="11">
        <v>10553</v>
      </c>
      <c r="C63" s="11" t="s">
        <v>196</v>
      </c>
      <c r="D63" s="11"/>
      <c r="E63" s="11" t="s">
        <v>197</v>
      </c>
      <c r="F63" s="11" t="s">
        <v>198</v>
      </c>
      <c r="G63" s="11" t="s">
        <v>199</v>
      </c>
      <c r="H63" s="12" t="s">
        <v>200</v>
      </c>
      <c r="I63" s="11">
        <f>17000+1000+1500+1500+1500+2000+1500</f>
        <v>26000</v>
      </c>
      <c r="J63" s="11">
        <v>24</v>
      </c>
      <c r="K63" s="11">
        <v>0</v>
      </c>
      <c r="L63" s="13">
        <f>I63/31*J63</f>
        <v>20129.032258064515</v>
      </c>
      <c r="M63" s="13">
        <f>ROUND(I63/31/12*1*K63,0)</f>
        <v>0</v>
      </c>
      <c r="N63" s="13">
        <v>1500</v>
      </c>
      <c r="O63" s="13">
        <f>SUM(L63:N63)</f>
        <v>21629.032258064515</v>
      </c>
      <c r="P63" s="11">
        <v>1498</v>
      </c>
      <c r="Q63" s="13">
        <v>0</v>
      </c>
      <c r="R63" s="13">
        <f>U63+V63-W63</f>
        <v>1400</v>
      </c>
      <c r="S63" s="13">
        <f>ROUND(O63-P63-Q63-R63,)</f>
        <v>18731</v>
      </c>
      <c r="T63" s="14"/>
      <c r="U63" s="2">
        <v>1400</v>
      </c>
    </row>
    <row r="64" spans="1:22" s="2" customFormat="1">
      <c r="A64" s="11">
        <f t="shared" si="5"/>
        <v>60</v>
      </c>
      <c r="B64" s="11">
        <v>10940</v>
      </c>
      <c r="C64" s="11" t="s">
        <v>201</v>
      </c>
      <c r="D64" s="12" t="s">
        <v>41</v>
      </c>
      <c r="E64" s="11" t="s">
        <v>202</v>
      </c>
      <c r="F64" s="11" t="s">
        <v>203</v>
      </c>
      <c r="G64" s="11" t="s">
        <v>204</v>
      </c>
      <c r="H64" s="11" t="s">
        <v>200</v>
      </c>
      <c r="I64" s="11">
        <f>17000+1000+1500+1500+1500+1500+1500</f>
        <v>25500</v>
      </c>
      <c r="J64" s="11">
        <v>0</v>
      </c>
      <c r="K64" s="12">
        <v>0</v>
      </c>
      <c r="L64" s="13">
        <f>I64/31*J64</f>
        <v>0</v>
      </c>
      <c r="M64" s="13">
        <f>ROUND(I64/31/12*1*K64,0)</f>
        <v>0</v>
      </c>
      <c r="N64" s="13">
        <v>0</v>
      </c>
      <c r="O64" s="13">
        <f>SUM(L64:N64)</f>
        <v>0</v>
      </c>
      <c r="P64" s="13">
        <v>0</v>
      </c>
      <c r="Q64" s="13">
        <v>0</v>
      </c>
      <c r="R64" s="13">
        <f>U64+V64-W64</f>
        <v>0</v>
      </c>
      <c r="S64" s="13">
        <f>ROUND(O64-P64-Q64-R64,)</f>
        <v>0</v>
      </c>
      <c r="T64" s="14"/>
      <c r="U64" s="2">
        <v>0</v>
      </c>
    </row>
    <row r="65" spans="1:22" s="2" customFormat="1">
      <c r="A65" s="11">
        <f t="shared" si="5"/>
        <v>61</v>
      </c>
      <c r="B65" s="11">
        <v>11542</v>
      </c>
      <c r="C65" s="11" t="s">
        <v>205</v>
      </c>
      <c r="D65" s="11" t="s">
        <v>41</v>
      </c>
      <c r="E65" s="11" t="s">
        <v>206</v>
      </c>
      <c r="F65" s="11" t="s">
        <v>207</v>
      </c>
      <c r="G65" s="11" t="s">
        <v>208</v>
      </c>
      <c r="H65" s="12" t="s">
        <v>200</v>
      </c>
      <c r="I65" s="11">
        <f>18000+1000+1500+500+1500+500</f>
        <v>23000</v>
      </c>
      <c r="J65" s="11">
        <v>31</v>
      </c>
      <c r="K65" s="11">
        <v>0</v>
      </c>
      <c r="L65" s="13">
        <f>I65/31*J65</f>
        <v>23000</v>
      </c>
      <c r="M65" s="13">
        <f>ROUND(I65/31/12*1*K65,0)</f>
        <v>0</v>
      </c>
      <c r="N65" s="13">
        <v>0</v>
      </c>
      <c r="O65" s="13">
        <f>SUM(L65:N65)</f>
        <v>23000</v>
      </c>
      <c r="P65" s="13">
        <v>0</v>
      </c>
      <c r="Q65" s="13">
        <v>0</v>
      </c>
      <c r="R65" s="13">
        <f>U65+V65-W65</f>
        <v>1400</v>
      </c>
      <c r="S65" s="13">
        <f>ROUND(O65-P65-Q65-R65,)</f>
        <v>21600</v>
      </c>
      <c r="T65" s="14"/>
      <c r="U65" s="2">
        <v>1400</v>
      </c>
    </row>
    <row r="66" spans="1:22" s="2" customFormat="1">
      <c r="A66" s="11">
        <f t="shared" si="5"/>
        <v>62</v>
      </c>
      <c r="B66" s="11">
        <v>10449</v>
      </c>
      <c r="C66" s="11" t="s">
        <v>209</v>
      </c>
      <c r="D66" s="11"/>
      <c r="E66" s="11" t="s">
        <v>27</v>
      </c>
      <c r="F66" s="11" t="s">
        <v>210</v>
      </c>
      <c r="G66" s="11" t="s">
        <v>211</v>
      </c>
      <c r="H66" s="11" t="s">
        <v>212</v>
      </c>
      <c r="I66" s="11">
        <f>400+100+30+20+30+30+30</f>
        <v>640</v>
      </c>
      <c r="J66" s="11">
        <v>28</v>
      </c>
      <c r="K66" s="11">
        <v>0</v>
      </c>
      <c r="L66" s="13">
        <f>I66*J66</f>
        <v>17920</v>
      </c>
      <c r="M66" s="13">
        <f>I66/8*1*K66</f>
        <v>0</v>
      </c>
      <c r="N66" s="13">
        <v>0</v>
      </c>
      <c r="O66" s="13">
        <f>SUM(L66:N66)</f>
        <v>17920</v>
      </c>
      <c r="P66" s="11">
        <v>1257</v>
      </c>
      <c r="Q66" s="13">
        <v>0</v>
      </c>
      <c r="R66" s="13">
        <f>U66+V66-W66</f>
        <v>1000</v>
      </c>
      <c r="S66" s="13">
        <f>ROUND(O66-P66-Q66-R66,)</f>
        <v>15663</v>
      </c>
      <c r="T66" s="12"/>
      <c r="U66" s="2">
        <v>1000</v>
      </c>
    </row>
    <row r="67" spans="1:22" s="2" customFormat="1">
      <c r="A67" s="11">
        <f t="shared" si="5"/>
        <v>63</v>
      </c>
      <c r="B67" s="11">
        <v>11344</v>
      </c>
      <c r="C67" s="11" t="s">
        <v>213</v>
      </c>
      <c r="D67" s="11"/>
      <c r="E67" s="11" t="s">
        <v>27</v>
      </c>
      <c r="F67" s="11" t="s">
        <v>214</v>
      </c>
      <c r="G67" s="11" t="s">
        <v>211</v>
      </c>
      <c r="H67" s="12" t="s">
        <v>212</v>
      </c>
      <c r="I67" s="11">
        <f>400+20+30+30+30+30</f>
        <v>540</v>
      </c>
      <c r="J67" s="12">
        <v>14</v>
      </c>
      <c r="K67" s="11">
        <v>0</v>
      </c>
      <c r="L67" s="13">
        <f>I67*J67</f>
        <v>7560</v>
      </c>
      <c r="M67" s="13">
        <f>I67/8*1*K67</f>
        <v>0</v>
      </c>
      <c r="N67" s="13">
        <v>0</v>
      </c>
      <c r="O67" s="13">
        <f>SUM(L67:N67)</f>
        <v>7560</v>
      </c>
      <c r="P67" s="13">
        <v>0</v>
      </c>
      <c r="Q67" s="13">
        <v>0</v>
      </c>
      <c r="R67" s="13">
        <f>U67+V67-W67</f>
        <v>1000</v>
      </c>
      <c r="S67" s="13">
        <f>ROUND(O67-P67-Q67-R67,)</f>
        <v>6560</v>
      </c>
      <c r="T67" s="14"/>
      <c r="U67" s="2">
        <v>1000</v>
      </c>
    </row>
    <row r="68" spans="1:22" s="2" customFormat="1">
      <c r="A68" s="11">
        <f t="shared" si="5"/>
        <v>64</v>
      </c>
      <c r="B68" s="11">
        <v>11455</v>
      </c>
      <c r="C68" s="11" t="s">
        <v>215</v>
      </c>
      <c r="D68" s="12" t="s">
        <v>36</v>
      </c>
      <c r="E68" s="12" t="s">
        <v>27</v>
      </c>
      <c r="F68" s="25" t="s">
        <v>216</v>
      </c>
      <c r="G68" s="25" t="s">
        <v>38</v>
      </c>
      <c r="H68" s="26" t="s">
        <v>212</v>
      </c>
      <c r="I68" s="11">
        <f>400+30+20</f>
        <v>450</v>
      </c>
      <c r="J68" s="11">
        <v>0</v>
      </c>
      <c r="K68" s="11"/>
      <c r="L68" s="13">
        <f>I68*J68</f>
        <v>0</v>
      </c>
      <c r="M68" s="13">
        <f>I68/8*2*K68</f>
        <v>0</v>
      </c>
      <c r="N68" s="13">
        <v>0</v>
      </c>
      <c r="O68" s="13">
        <f>SUM(L68:N68)</f>
        <v>0</v>
      </c>
      <c r="P68" s="13">
        <v>0</v>
      </c>
      <c r="Q68" s="13">
        <v>0</v>
      </c>
      <c r="R68" s="13">
        <f>U68+V68-W68</f>
        <v>0</v>
      </c>
      <c r="S68" s="13">
        <f>ROUND(O68-P68-Q68-R68,)</f>
        <v>0</v>
      </c>
      <c r="T68" s="14"/>
      <c r="U68" s="2">
        <v>0</v>
      </c>
    </row>
    <row r="69" spans="1:22" s="2" customFormat="1">
      <c r="A69" s="11">
        <f t="shared" si="5"/>
        <v>65</v>
      </c>
      <c r="B69" s="11">
        <v>196</v>
      </c>
      <c r="C69" s="11" t="s">
        <v>217</v>
      </c>
      <c r="D69" s="12" t="s">
        <v>169</v>
      </c>
      <c r="E69" s="11" t="s">
        <v>170</v>
      </c>
      <c r="F69" s="11" t="s">
        <v>218</v>
      </c>
      <c r="G69" s="11" t="s">
        <v>172</v>
      </c>
      <c r="H69" s="11" t="s">
        <v>219</v>
      </c>
      <c r="I69" s="11">
        <f>19500+1000+1250+1750+1750</f>
        <v>25250</v>
      </c>
      <c r="J69" s="11">
        <v>31</v>
      </c>
      <c r="K69" s="11">
        <v>0</v>
      </c>
      <c r="L69" s="13">
        <f>I69/31*J69</f>
        <v>25250</v>
      </c>
      <c r="M69" s="13">
        <f>ROUND(I69/31/12*1*K69,0)</f>
        <v>0</v>
      </c>
      <c r="N69" s="13">
        <v>0</v>
      </c>
      <c r="O69" s="13">
        <f>SUM(L69:N69)</f>
        <v>25250</v>
      </c>
      <c r="P69" s="13">
        <v>0</v>
      </c>
      <c r="Q69" s="13">
        <v>0</v>
      </c>
      <c r="R69" s="13">
        <f>U69+V69-W69</f>
        <v>12000</v>
      </c>
      <c r="S69" s="13">
        <f>ROUND(O69-P69-Q69-R69,)</f>
        <v>13250</v>
      </c>
      <c r="T69" s="12"/>
      <c r="U69" s="2">
        <v>2000</v>
      </c>
      <c r="V69" s="19">
        <v>10000</v>
      </c>
    </row>
    <row r="70" spans="1:22" s="2" customFormat="1">
      <c r="A70" s="11">
        <f t="shared" si="5"/>
        <v>66</v>
      </c>
      <c r="B70" s="11">
        <v>10499</v>
      </c>
      <c r="C70" s="11" t="s">
        <v>220</v>
      </c>
      <c r="D70" s="12" t="s">
        <v>36</v>
      </c>
      <c r="E70" s="11" t="s">
        <v>27</v>
      </c>
      <c r="F70" s="11" t="s">
        <v>221</v>
      </c>
      <c r="G70" s="11" t="s">
        <v>38</v>
      </c>
      <c r="H70" s="11" t="s">
        <v>219</v>
      </c>
      <c r="I70" s="11">
        <f>330+25+30+30</f>
        <v>415</v>
      </c>
      <c r="J70" s="11">
        <v>31</v>
      </c>
      <c r="K70" s="11">
        <v>73</v>
      </c>
      <c r="L70" s="13">
        <f>I70*J70</f>
        <v>12865</v>
      </c>
      <c r="M70" s="13">
        <f>I70/8*2*K70</f>
        <v>7573.75</v>
      </c>
      <c r="N70" s="13">
        <v>0</v>
      </c>
      <c r="O70" s="13">
        <f>SUM(L70:N70)</f>
        <v>20438.75</v>
      </c>
      <c r="P70" s="13">
        <v>0</v>
      </c>
      <c r="Q70" s="13">
        <v>0</v>
      </c>
      <c r="R70" s="13">
        <f>U70+V70-W70</f>
        <v>1400</v>
      </c>
      <c r="S70" s="13">
        <f>ROUND(O70-P70-Q70-R70,)</f>
        <v>19039</v>
      </c>
      <c r="T70" s="12"/>
      <c r="U70" s="2">
        <v>1400</v>
      </c>
    </row>
    <row r="71" spans="1:22" s="2" customFormat="1">
      <c r="A71" s="11">
        <f t="shared" si="5"/>
        <v>67</v>
      </c>
      <c r="B71" s="11">
        <v>10614</v>
      </c>
      <c r="C71" s="11" t="s">
        <v>222</v>
      </c>
      <c r="D71" s="12" t="s">
        <v>66</v>
      </c>
      <c r="E71" s="11" t="s">
        <v>27</v>
      </c>
      <c r="F71" s="11" t="s">
        <v>223</v>
      </c>
      <c r="G71" s="11" t="s">
        <v>68</v>
      </c>
      <c r="H71" s="11" t="s">
        <v>219</v>
      </c>
      <c r="I71" s="11">
        <f>310+20+25+30+30</f>
        <v>415</v>
      </c>
      <c r="J71" s="11">
        <v>27</v>
      </c>
      <c r="K71" s="11">
        <v>74</v>
      </c>
      <c r="L71" s="13">
        <f>I71*J71</f>
        <v>11205</v>
      </c>
      <c r="M71" s="13">
        <f>I71/8*2*K71</f>
        <v>7677.5</v>
      </c>
      <c r="N71" s="13">
        <v>0</v>
      </c>
      <c r="O71" s="13">
        <f>SUM(L71:N71)</f>
        <v>18882.5</v>
      </c>
      <c r="P71" s="13">
        <v>0</v>
      </c>
      <c r="Q71" s="13">
        <v>0</v>
      </c>
      <c r="R71" s="13">
        <f>U71+V71-W71</f>
        <v>11400</v>
      </c>
      <c r="S71" s="13">
        <f>ROUND(O71-P71-Q71-R71,)</f>
        <v>7483</v>
      </c>
      <c r="T71" s="12"/>
      <c r="U71" s="2">
        <v>1400</v>
      </c>
      <c r="V71" s="19">
        <v>10000</v>
      </c>
    </row>
    <row r="72" spans="1:22" s="2" customFormat="1">
      <c r="A72" s="11">
        <f t="shared" si="5"/>
        <v>68</v>
      </c>
      <c r="B72" s="11">
        <v>10723</v>
      </c>
      <c r="C72" s="11" t="s">
        <v>224</v>
      </c>
      <c r="D72" s="12" t="s">
        <v>66</v>
      </c>
      <c r="E72" s="11" t="s">
        <v>225</v>
      </c>
      <c r="F72" s="11" t="s">
        <v>226</v>
      </c>
      <c r="G72" s="11" t="s">
        <v>227</v>
      </c>
      <c r="H72" s="11" t="s">
        <v>219</v>
      </c>
      <c r="I72" s="11">
        <f>19000+1000+1000+1500+1500+1000</f>
        <v>25000</v>
      </c>
      <c r="J72" s="11">
        <v>30</v>
      </c>
      <c r="K72" s="11">
        <v>2</v>
      </c>
      <c r="L72" s="13">
        <f>I72/31*J72</f>
        <v>24193.548387096776</v>
      </c>
      <c r="M72" s="13">
        <f>ROUND(I72/31/12*1*K72,0)</f>
        <v>134</v>
      </c>
      <c r="N72" s="13">
        <v>0</v>
      </c>
      <c r="O72" s="13">
        <f>SUM(L72:N72)</f>
        <v>24327.548387096776</v>
      </c>
      <c r="P72" s="13">
        <v>0</v>
      </c>
      <c r="Q72" s="13">
        <v>0</v>
      </c>
      <c r="R72" s="13">
        <f>U72+V72-W72</f>
        <v>7500</v>
      </c>
      <c r="S72" s="13">
        <f>ROUND(O72-P72-Q72-R72,)</f>
        <v>16828</v>
      </c>
      <c r="T72" s="12"/>
      <c r="U72" s="2">
        <v>4500</v>
      </c>
      <c r="V72" s="19">
        <v>3000</v>
      </c>
    </row>
    <row r="73" spans="1:22" s="2" customFormat="1">
      <c r="A73" s="11">
        <f t="shared" si="5"/>
        <v>69</v>
      </c>
      <c r="B73" s="11">
        <v>11250</v>
      </c>
      <c r="C73" s="11" t="s">
        <v>228</v>
      </c>
      <c r="D73" s="11"/>
      <c r="E73" s="11" t="s">
        <v>229</v>
      </c>
      <c r="F73" s="11" t="s">
        <v>230</v>
      </c>
      <c r="G73" s="11" t="s">
        <v>231</v>
      </c>
      <c r="H73" s="12" t="s">
        <v>219</v>
      </c>
      <c r="I73" s="31">
        <v>26000</v>
      </c>
      <c r="J73" s="16">
        <v>15</v>
      </c>
      <c r="K73" s="16">
        <v>0</v>
      </c>
      <c r="L73" s="13">
        <f>I73/31*J73</f>
        <v>12580.645161290324</v>
      </c>
      <c r="M73" s="13">
        <f>ROUND(I73/31/12*1*K73,0)</f>
        <v>0</v>
      </c>
      <c r="N73" s="13">
        <v>0</v>
      </c>
      <c r="O73" s="13">
        <f>SUM(L73:N73)</f>
        <v>12580.645161290324</v>
      </c>
      <c r="P73" s="13">
        <v>0</v>
      </c>
      <c r="Q73" s="13">
        <v>0</v>
      </c>
      <c r="R73" s="13">
        <f>U73+V73-W73</f>
        <v>6700</v>
      </c>
      <c r="S73" s="13">
        <f>ROUND(O73-P73-Q73-R73,)</f>
        <v>5881</v>
      </c>
      <c r="T73" s="14"/>
      <c r="U73" s="2">
        <v>6700</v>
      </c>
    </row>
    <row r="74" spans="1:22" s="2" customFormat="1">
      <c r="A74" s="11">
        <f t="shared" si="5"/>
        <v>70</v>
      </c>
      <c r="B74" s="11">
        <v>11012</v>
      </c>
      <c r="C74" s="11" t="s">
        <v>232</v>
      </c>
      <c r="D74" s="12" t="s">
        <v>41</v>
      </c>
      <c r="E74" s="11" t="s">
        <v>233</v>
      </c>
      <c r="F74" s="11" t="s">
        <v>234</v>
      </c>
      <c r="G74" s="11" t="s">
        <v>235</v>
      </c>
      <c r="H74" s="12" t="s">
        <v>219</v>
      </c>
      <c r="I74" s="11">
        <f>250+30+30+25+30+25+30</f>
        <v>420</v>
      </c>
      <c r="J74" s="11">
        <v>0</v>
      </c>
      <c r="K74" s="11">
        <v>0</v>
      </c>
      <c r="L74" s="13">
        <f>I74*J74</f>
        <v>0</v>
      </c>
      <c r="M74" s="13">
        <f>I74/8*2*K74</f>
        <v>0</v>
      </c>
      <c r="N74" s="13">
        <v>0</v>
      </c>
      <c r="O74" s="13">
        <f>SUM(L74:N74)</f>
        <v>0</v>
      </c>
      <c r="P74" s="13">
        <v>0</v>
      </c>
      <c r="Q74" s="13">
        <v>0</v>
      </c>
      <c r="R74" s="13">
        <f>U74+V74-W74</f>
        <v>0</v>
      </c>
      <c r="S74" s="13">
        <f>ROUND(O74-P74-Q74-R74,)</f>
        <v>0</v>
      </c>
      <c r="T74" s="12"/>
      <c r="U74" s="2">
        <v>0</v>
      </c>
    </row>
    <row r="75" spans="1:22" s="2" customFormat="1">
      <c r="A75" s="11">
        <f t="shared" si="5"/>
        <v>71</v>
      </c>
      <c r="B75" s="11">
        <v>10746</v>
      </c>
      <c r="C75" s="11" t="s">
        <v>236</v>
      </c>
      <c r="D75" s="12" t="s">
        <v>169</v>
      </c>
      <c r="E75" s="11" t="s">
        <v>170</v>
      </c>
      <c r="F75" s="11" t="s">
        <v>237</v>
      </c>
      <c r="G75" s="11" t="s">
        <v>172</v>
      </c>
      <c r="H75" s="12" t="s">
        <v>219</v>
      </c>
      <c r="I75" s="11">
        <f>290+30+20+20</f>
        <v>360</v>
      </c>
      <c r="J75" s="11">
        <v>0</v>
      </c>
      <c r="K75" s="11">
        <v>0</v>
      </c>
      <c r="L75" s="13">
        <f>I75*J75</f>
        <v>0</v>
      </c>
      <c r="M75" s="13">
        <f>I75/8*2*K75</f>
        <v>0</v>
      </c>
      <c r="N75" s="13">
        <v>0</v>
      </c>
      <c r="O75" s="13">
        <f>SUM(L75:N75)</f>
        <v>0</v>
      </c>
      <c r="P75" s="13">
        <v>0</v>
      </c>
      <c r="Q75" s="13">
        <v>0</v>
      </c>
      <c r="R75" s="13">
        <f>U75+V75-W75</f>
        <v>0</v>
      </c>
      <c r="S75" s="13">
        <f>ROUND(O75-P75-Q75-R75,)</f>
        <v>0</v>
      </c>
      <c r="T75" s="14"/>
      <c r="U75" s="2">
        <v>0</v>
      </c>
    </row>
    <row r="76" spans="1:22" s="2" customFormat="1">
      <c r="A76" s="11">
        <f t="shared" si="5"/>
        <v>72</v>
      </c>
      <c r="B76" s="11">
        <v>11287</v>
      </c>
      <c r="C76" s="11" t="s">
        <v>238</v>
      </c>
      <c r="D76" s="12" t="s">
        <v>41</v>
      </c>
      <c r="E76" s="11" t="s">
        <v>27</v>
      </c>
      <c r="F76" s="25" t="s">
        <v>239</v>
      </c>
      <c r="G76" s="11" t="s">
        <v>54</v>
      </c>
      <c r="H76" s="12" t="s">
        <v>219</v>
      </c>
      <c r="I76" s="11">
        <f>22000+1500+1500</f>
        <v>25000</v>
      </c>
      <c r="J76" s="16">
        <v>31</v>
      </c>
      <c r="K76" s="11">
        <v>0</v>
      </c>
      <c r="L76" s="13">
        <f>I76/31*J76</f>
        <v>25000</v>
      </c>
      <c r="M76" s="13">
        <f>ROUND(I76/31/12*1*K76,0)</f>
        <v>0</v>
      </c>
      <c r="N76" s="13">
        <v>0</v>
      </c>
      <c r="O76" s="13">
        <f>SUM(L76:N76)</f>
        <v>25000</v>
      </c>
      <c r="P76" s="13">
        <v>0</v>
      </c>
      <c r="Q76" s="13">
        <v>0</v>
      </c>
      <c r="R76" s="13">
        <f>U76+V76-W76</f>
        <v>2000</v>
      </c>
      <c r="S76" s="13">
        <f>ROUND(O76-P76-Q76-R76,)</f>
        <v>23000</v>
      </c>
      <c r="T76" s="14"/>
      <c r="U76" s="2">
        <v>2000</v>
      </c>
    </row>
    <row r="77" spans="1:22" s="2" customFormat="1">
      <c r="A77" s="11">
        <f t="shared" si="5"/>
        <v>73</v>
      </c>
      <c r="B77" s="11">
        <v>11424</v>
      </c>
      <c r="C77" s="11" t="s">
        <v>240</v>
      </c>
      <c r="D77" s="11" t="s">
        <v>169</v>
      </c>
      <c r="E77" s="11" t="s">
        <v>27</v>
      </c>
      <c r="F77" s="11" t="s">
        <v>241</v>
      </c>
      <c r="G77" s="11" t="s">
        <v>172</v>
      </c>
      <c r="H77" s="12" t="s">
        <v>219</v>
      </c>
      <c r="I77" s="11">
        <f>345+25+25</f>
        <v>395</v>
      </c>
      <c r="J77" s="11">
        <v>25</v>
      </c>
      <c r="K77" s="11">
        <v>61</v>
      </c>
      <c r="L77" s="13">
        <f>I77*J77</f>
        <v>9875</v>
      </c>
      <c r="M77" s="13">
        <f>I77/8*2*K77</f>
        <v>6023.75</v>
      </c>
      <c r="N77" s="13">
        <v>0</v>
      </c>
      <c r="O77" s="13">
        <f>SUM(L77:N77)</f>
        <v>15898.75</v>
      </c>
      <c r="P77" s="13">
        <v>0</v>
      </c>
      <c r="Q77" s="13">
        <v>0</v>
      </c>
      <c r="R77" s="13">
        <f>U77+V77-W77</f>
        <v>11400</v>
      </c>
      <c r="S77" s="13">
        <f>ROUND(O77-P77-Q77-R77,)</f>
        <v>4499</v>
      </c>
      <c r="T77" s="14"/>
      <c r="U77" s="2">
        <v>1400</v>
      </c>
      <c r="V77" s="19">
        <v>10000</v>
      </c>
    </row>
    <row r="78" spans="1:22" s="2" customFormat="1">
      <c r="A78" s="11">
        <f t="shared" si="5"/>
        <v>74</v>
      </c>
      <c r="B78" s="11">
        <v>10729</v>
      </c>
      <c r="C78" s="11" t="s">
        <v>242</v>
      </c>
      <c r="D78" s="11" t="s">
        <v>186</v>
      </c>
      <c r="E78" s="11" t="s">
        <v>229</v>
      </c>
      <c r="F78" s="11" t="s">
        <v>243</v>
      </c>
      <c r="G78" s="11" t="s">
        <v>231</v>
      </c>
      <c r="H78" s="12" t="s">
        <v>219</v>
      </c>
      <c r="I78" s="11">
        <f>380+20</f>
        <v>400</v>
      </c>
      <c r="J78" s="16">
        <v>0</v>
      </c>
      <c r="K78" s="16">
        <v>0</v>
      </c>
      <c r="L78" s="13">
        <f>I78*J78</f>
        <v>0</v>
      </c>
      <c r="M78" s="13">
        <f>I78/8*2*K78</f>
        <v>0</v>
      </c>
      <c r="N78" s="13">
        <v>0</v>
      </c>
      <c r="O78" s="13">
        <f>SUM(L78:N78)</f>
        <v>0</v>
      </c>
      <c r="P78" s="13">
        <v>0</v>
      </c>
      <c r="Q78" s="13">
        <v>0</v>
      </c>
      <c r="R78" s="13">
        <f>U78+V78-W78</f>
        <v>0</v>
      </c>
      <c r="S78" s="13">
        <f>ROUND(O78-P78-Q78-R78,)</f>
        <v>0</v>
      </c>
      <c r="T78" s="14"/>
      <c r="U78" s="2">
        <v>0</v>
      </c>
    </row>
    <row r="79" spans="1:22" s="2" customFormat="1">
      <c r="A79" s="11">
        <f t="shared" si="5"/>
        <v>75</v>
      </c>
      <c r="B79" s="11">
        <v>11332</v>
      </c>
      <c r="C79" s="11" t="s">
        <v>244</v>
      </c>
      <c r="D79" s="11" t="s">
        <v>186</v>
      </c>
      <c r="E79" s="11" t="s">
        <v>229</v>
      </c>
      <c r="F79" s="11" t="s">
        <v>245</v>
      </c>
      <c r="G79" s="11" t="s">
        <v>231</v>
      </c>
      <c r="H79" s="12" t="s">
        <v>219</v>
      </c>
      <c r="I79" s="11">
        <f>290+40+20</f>
        <v>350</v>
      </c>
      <c r="J79" s="11">
        <v>0</v>
      </c>
      <c r="K79" s="11">
        <v>0</v>
      </c>
      <c r="L79" s="13">
        <f>I79*J79</f>
        <v>0</v>
      </c>
      <c r="M79" s="13">
        <f>I79/8*2*K79</f>
        <v>0</v>
      </c>
      <c r="N79" s="13">
        <v>0</v>
      </c>
      <c r="O79" s="13">
        <f>SUM(L79:N79)</f>
        <v>0</v>
      </c>
      <c r="P79" s="13">
        <v>0</v>
      </c>
      <c r="Q79" s="13">
        <v>0</v>
      </c>
      <c r="R79" s="13">
        <f>U79+V79-W79</f>
        <v>0</v>
      </c>
      <c r="S79" s="13">
        <f>ROUND(O79-P79-Q79-R79,)</f>
        <v>0</v>
      </c>
      <c r="T79" s="14"/>
      <c r="U79" s="2">
        <v>0</v>
      </c>
    </row>
    <row r="80" spans="1:22" s="2" customFormat="1">
      <c r="A80" s="11">
        <f t="shared" si="5"/>
        <v>76</v>
      </c>
      <c r="B80" s="11">
        <v>11439</v>
      </c>
      <c r="C80" s="11" t="s">
        <v>246</v>
      </c>
      <c r="D80" s="11" t="s">
        <v>186</v>
      </c>
      <c r="E80" s="11" t="s">
        <v>229</v>
      </c>
      <c r="F80" s="11" t="s">
        <v>247</v>
      </c>
      <c r="G80" s="11" t="s">
        <v>231</v>
      </c>
      <c r="H80" s="12" t="s">
        <v>219</v>
      </c>
      <c r="I80" s="11">
        <f>340+30</f>
        <v>370</v>
      </c>
      <c r="J80" s="11">
        <v>0</v>
      </c>
      <c r="K80" s="11">
        <v>0</v>
      </c>
      <c r="L80" s="13">
        <f>I80*J80</f>
        <v>0</v>
      </c>
      <c r="M80" s="13">
        <f>I80/8*2*K80</f>
        <v>0</v>
      </c>
      <c r="N80" s="13">
        <v>0</v>
      </c>
      <c r="O80" s="13">
        <f>SUM(L80:N80)</f>
        <v>0</v>
      </c>
      <c r="P80" s="13">
        <v>0</v>
      </c>
      <c r="Q80" s="13">
        <v>0</v>
      </c>
      <c r="R80" s="13">
        <f>U80+V80-W80</f>
        <v>0</v>
      </c>
      <c r="S80" s="13">
        <f>ROUND(O80-P80-Q80-R80,)</f>
        <v>0</v>
      </c>
      <c r="T80" s="14"/>
      <c r="U80" s="2">
        <v>0</v>
      </c>
    </row>
    <row r="81" spans="1:24" s="2" customFormat="1">
      <c r="A81" s="11">
        <f t="shared" si="5"/>
        <v>77</v>
      </c>
      <c r="B81" s="11">
        <v>11240</v>
      </c>
      <c r="C81" s="11" t="s">
        <v>248</v>
      </c>
      <c r="D81" s="11"/>
      <c r="E81" s="11"/>
      <c r="F81" s="11"/>
      <c r="G81" s="11"/>
      <c r="H81" s="26" t="s">
        <v>219</v>
      </c>
      <c r="I81" s="11">
        <f>310+25</f>
        <v>335</v>
      </c>
      <c r="J81" s="11">
        <v>0</v>
      </c>
      <c r="K81" s="11">
        <v>0</v>
      </c>
      <c r="L81" s="13">
        <f>I81*J81</f>
        <v>0</v>
      </c>
      <c r="M81" s="13">
        <f>I81/8*2*K81</f>
        <v>0</v>
      </c>
      <c r="N81" s="13">
        <v>0</v>
      </c>
      <c r="O81" s="13">
        <f>SUM(L81:N81)</f>
        <v>0</v>
      </c>
      <c r="P81" s="13">
        <v>0</v>
      </c>
      <c r="Q81" s="13">
        <v>0</v>
      </c>
      <c r="R81" s="13">
        <f>U81+V81-W81</f>
        <v>0</v>
      </c>
      <c r="S81" s="13">
        <f>ROUND(O81-P81-Q81-R81,)</f>
        <v>0</v>
      </c>
      <c r="T81" s="14"/>
      <c r="U81" s="2">
        <v>0</v>
      </c>
    </row>
    <row r="82" spans="1:24" s="2" customFormat="1">
      <c r="A82" s="11">
        <f t="shared" si="5"/>
        <v>78</v>
      </c>
      <c r="B82" s="11">
        <v>11675</v>
      </c>
      <c r="C82" s="11" t="s">
        <v>249</v>
      </c>
      <c r="D82" s="12" t="s">
        <v>169</v>
      </c>
      <c r="E82" s="12" t="s">
        <v>27</v>
      </c>
      <c r="F82" s="25" t="s">
        <v>250</v>
      </c>
      <c r="G82" s="12" t="s">
        <v>172</v>
      </c>
      <c r="H82" s="26" t="s">
        <v>219</v>
      </c>
      <c r="I82" s="11">
        <v>20000</v>
      </c>
      <c r="J82" s="11">
        <v>0</v>
      </c>
      <c r="K82" s="11">
        <v>0</v>
      </c>
      <c r="L82" s="13">
        <f>I82/31*J82</f>
        <v>0</v>
      </c>
      <c r="M82" s="13">
        <f>ROUND(I82/31/12*1*K82,0)</f>
        <v>0</v>
      </c>
      <c r="N82" s="13">
        <v>0</v>
      </c>
      <c r="O82" s="13">
        <f>SUM(L82:N82)</f>
        <v>0</v>
      </c>
      <c r="P82" s="13">
        <v>0</v>
      </c>
      <c r="Q82" s="13">
        <v>0</v>
      </c>
      <c r="R82" s="13">
        <f>U82+V82-W82</f>
        <v>0</v>
      </c>
      <c r="S82" s="13">
        <f>ROUND(O82-P82-Q82-R82,)</f>
        <v>0</v>
      </c>
      <c r="T82" s="14"/>
      <c r="U82" s="2">
        <v>0</v>
      </c>
    </row>
    <row r="83" spans="1:24" s="2" customFormat="1">
      <c r="A83" s="11">
        <f t="shared" si="5"/>
        <v>79</v>
      </c>
      <c r="B83" s="11">
        <v>11662</v>
      </c>
      <c r="C83" s="11" t="s">
        <v>251</v>
      </c>
      <c r="D83" s="11"/>
      <c r="E83" s="12" t="s">
        <v>252</v>
      </c>
      <c r="F83" s="25" t="s">
        <v>253</v>
      </c>
      <c r="G83" s="12" t="s">
        <v>254</v>
      </c>
      <c r="H83" s="26" t="s">
        <v>219</v>
      </c>
      <c r="I83" s="11">
        <f>20000+1000</f>
        <v>21000</v>
      </c>
      <c r="J83" s="11">
        <v>31</v>
      </c>
      <c r="K83" s="11">
        <v>8</v>
      </c>
      <c r="L83" s="13">
        <f>I83/31*J83</f>
        <v>21000</v>
      </c>
      <c r="M83" s="13">
        <f>ROUND(I83/31/12*1*K83,0)</f>
        <v>452</v>
      </c>
      <c r="N83" s="13">
        <v>0</v>
      </c>
      <c r="O83" s="13">
        <f>SUM(L83:N83)</f>
        <v>21452</v>
      </c>
      <c r="P83" s="13">
        <v>0</v>
      </c>
      <c r="Q83" s="13">
        <v>0</v>
      </c>
      <c r="R83" s="13">
        <f>U83+V83-W83</f>
        <v>2000</v>
      </c>
      <c r="S83" s="13">
        <f>ROUND(O83-P83-Q83-R83,)</f>
        <v>19452</v>
      </c>
      <c r="T83" s="14"/>
      <c r="U83" s="2">
        <v>2000</v>
      </c>
    </row>
    <row r="84" spans="1:24" s="2" customFormat="1">
      <c r="A84" s="11">
        <f t="shared" si="5"/>
        <v>80</v>
      </c>
      <c r="B84" s="11">
        <v>11793</v>
      </c>
      <c r="C84" s="11" t="s">
        <v>299</v>
      </c>
      <c r="D84" s="11"/>
      <c r="E84" s="11"/>
      <c r="F84" s="11"/>
      <c r="G84" s="11"/>
      <c r="H84" s="26" t="s">
        <v>219</v>
      </c>
      <c r="I84" s="14">
        <f>18000+2000</f>
        <v>20000</v>
      </c>
      <c r="J84" s="11">
        <v>31</v>
      </c>
      <c r="K84" s="11">
        <v>0</v>
      </c>
      <c r="L84" s="13">
        <f>I84/31*J84</f>
        <v>20000</v>
      </c>
      <c r="M84" s="13">
        <f>ROUND(I84/31/12*1*K84,0)</f>
        <v>0</v>
      </c>
      <c r="N84" s="13">
        <v>1000</v>
      </c>
      <c r="O84" s="13">
        <f>SUM(L84:N84)</f>
        <v>21000</v>
      </c>
      <c r="P84" s="13">
        <v>0</v>
      </c>
      <c r="Q84" s="13">
        <v>0</v>
      </c>
      <c r="R84" s="13">
        <f>U84+V84-W84</f>
        <v>13000</v>
      </c>
      <c r="S84" s="13">
        <f>ROUND(O84-P84-Q84-R84,)</f>
        <v>8000</v>
      </c>
      <c r="T84" s="14"/>
      <c r="U84" s="2">
        <v>2000</v>
      </c>
      <c r="V84" s="19">
        <v>11000</v>
      </c>
    </row>
    <row r="85" spans="1:24" s="2" customFormat="1">
      <c r="A85" s="11">
        <f t="shared" si="5"/>
        <v>81</v>
      </c>
      <c r="B85" s="11">
        <v>10805</v>
      </c>
      <c r="C85" s="11" t="s">
        <v>255</v>
      </c>
      <c r="D85" s="12" t="s">
        <v>41</v>
      </c>
      <c r="E85" s="12" t="s">
        <v>27</v>
      </c>
      <c r="F85" s="25" t="s">
        <v>256</v>
      </c>
      <c r="G85" s="12" t="s">
        <v>68</v>
      </c>
      <c r="H85" s="11" t="s">
        <v>69</v>
      </c>
      <c r="I85" s="11">
        <f>17000+500+1500+1500+3000+2000</f>
        <v>25500</v>
      </c>
      <c r="J85" s="11">
        <v>28</v>
      </c>
      <c r="K85" s="11">
        <v>0</v>
      </c>
      <c r="L85" s="13">
        <f>I85/31*J85</f>
        <v>23032.258064516129</v>
      </c>
      <c r="M85" s="13">
        <f>ROUND(I85/31/12*1*K85,0)</f>
        <v>0</v>
      </c>
      <c r="N85" s="13">
        <v>0</v>
      </c>
      <c r="O85" s="13">
        <f>SUM(L85:N85)</f>
        <v>23032.258064516129</v>
      </c>
      <c r="P85" s="13">
        <v>0</v>
      </c>
      <c r="Q85" s="13">
        <v>0</v>
      </c>
      <c r="R85" s="13">
        <f>U85+V85-W85+X85</f>
        <v>19500</v>
      </c>
      <c r="S85" s="13">
        <f>ROUND(O85-P85-Q85-R85,)</f>
        <v>3532</v>
      </c>
      <c r="T85" s="12"/>
      <c r="U85" s="2">
        <v>2000</v>
      </c>
      <c r="V85" s="2">
        <v>17500</v>
      </c>
      <c r="X85" s="27"/>
    </row>
    <row r="86" spans="1:24" s="2" customFormat="1">
      <c r="A86" s="11">
        <f t="shared" si="5"/>
        <v>82</v>
      </c>
      <c r="B86" s="11">
        <v>11589</v>
      </c>
      <c r="C86" s="11" t="s">
        <v>168</v>
      </c>
      <c r="D86" s="11" t="s">
        <v>169</v>
      </c>
      <c r="E86" s="11" t="s">
        <v>170</v>
      </c>
      <c r="F86" s="25" t="s">
        <v>171</v>
      </c>
      <c r="G86" s="11" t="s">
        <v>172</v>
      </c>
      <c r="H86" s="12" t="s">
        <v>173</v>
      </c>
      <c r="I86" s="11">
        <v>21000</v>
      </c>
      <c r="J86" s="11">
        <v>15</v>
      </c>
      <c r="K86" s="11">
        <v>0</v>
      </c>
      <c r="L86" s="13">
        <f>I86/31*J86</f>
        <v>10161.290322580644</v>
      </c>
      <c r="M86" s="13">
        <f>I86/8*2*K86</f>
        <v>0</v>
      </c>
      <c r="N86" s="13">
        <v>0</v>
      </c>
      <c r="O86" s="13">
        <f>SUM(L86:N86)</f>
        <v>10161.290322580644</v>
      </c>
      <c r="P86" s="13">
        <v>0</v>
      </c>
      <c r="Q86" s="13">
        <v>0</v>
      </c>
      <c r="R86" s="13">
        <f>U86+V86-W86</f>
        <v>1700</v>
      </c>
      <c r="S86" s="13">
        <f>ROUND(O86-P86-Q86-R86,)</f>
        <v>8461</v>
      </c>
      <c r="T86" s="14"/>
      <c r="U86" s="2">
        <v>1700</v>
      </c>
    </row>
    <row r="87" spans="1:24" s="2" customFormat="1">
      <c r="A87" s="11">
        <f t="shared" si="5"/>
        <v>83</v>
      </c>
      <c r="B87" s="11">
        <v>11246</v>
      </c>
      <c r="C87" s="11" t="s">
        <v>257</v>
      </c>
      <c r="D87" s="11"/>
      <c r="E87" s="12" t="s">
        <v>27</v>
      </c>
      <c r="F87" s="25" t="s">
        <v>258</v>
      </c>
      <c r="G87" s="12" t="s">
        <v>172</v>
      </c>
      <c r="H87" s="12" t="s">
        <v>173</v>
      </c>
      <c r="I87" s="31">
        <v>24000</v>
      </c>
      <c r="J87" s="11">
        <v>14</v>
      </c>
      <c r="K87" s="11">
        <v>0</v>
      </c>
      <c r="L87" s="13">
        <f>I87/31*J87</f>
        <v>10838.709677419356</v>
      </c>
      <c r="M87" s="13">
        <f>ROUND(I87/31/12*1*K87,0)</f>
        <v>0</v>
      </c>
      <c r="N87" s="13">
        <v>0</v>
      </c>
      <c r="O87" s="13">
        <f>SUM(L87:N87)</f>
        <v>10838.709677419356</v>
      </c>
      <c r="P87" s="13">
        <v>0</v>
      </c>
      <c r="Q87" s="13">
        <v>0</v>
      </c>
      <c r="R87" s="13">
        <f>U87+V87-W87</f>
        <v>1700</v>
      </c>
      <c r="S87" s="13">
        <f>ROUND(O87-P87-Q87-R87,)</f>
        <v>9139</v>
      </c>
      <c r="T87" s="14"/>
      <c r="U87" s="2">
        <v>1700</v>
      </c>
    </row>
    <row r="88" spans="1:24" s="2" customFormat="1">
      <c r="A88" s="11">
        <f t="shared" si="5"/>
        <v>84</v>
      </c>
      <c r="B88" s="11">
        <v>11596</v>
      </c>
      <c r="C88" s="11" t="s">
        <v>259</v>
      </c>
      <c r="D88" s="11"/>
      <c r="E88" s="11" t="s">
        <v>260</v>
      </c>
      <c r="F88" s="11" t="s">
        <v>261</v>
      </c>
      <c r="G88" s="11" t="s">
        <v>262</v>
      </c>
      <c r="H88" s="12" t="s">
        <v>173</v>
      </c>
      <c r="I88" s="11">
        <f>270+10+20+30+20</f>
        <v>350</v>
      </c>
      <c r="J88" s="11">
        <v>29</v>
      </c>
      <c r="K88" s="11">
        <v>70</v>
      </c>
      <c r="L88" s="13">
        <f>I88*J88</f>
        <v>10150</v>
      </c>
      <c r="M88" s="13">
        <f>I88/8*2*K88</f>
        <v>6125</v>
      </c>
      <c r="N88" s="13">
        <v>0</v>
      </c>
      <c r="O88" s="13">
        <f>SUM(L88:N88)</f>
        <v>16275</v>
      </c>
      <c r="P88" s="13">
        <v>0</v>
      </c>
      <c r="Q88" s="13">
        <v>0</v>
      </c>
      <c r="R88" s="13">
        <f>U88+V88-W88</f>
        <v>1400</v>
      </c>
      <c r="S88" s="13">
        <f>ROUND(O88-P88-Q88-R88,)</f>
        <v>14875</v>
      </c>
      <c r="T88" s="14"/>
      <c r="U88" s="2">
        <v>1400</v>
      </c>
    </row>
    <row r="89" spans="1:24" s="2" customFormat="1">
      <c r="A89" s="11">
        <f t="shared" si="5"/>
        <v>85</v>
      </c>
      <c r="B89" s="11">
        <v>10487</v>
      </c>
      <c r="C89" s="11" t="s">
        <v>263</v>
      </c>
      <c r="D89" s="12" t="s">
        <v>36</v>
      </c>
      <c r="E89" s="11" t="s">
        <v>27</v>
      </c>
      <c r="F89" s="11" t="s">
        <v>264</v>
      </c>
      <c r="G89" s="11" t="s">
        <v>38</v>
      </c>
      <c r="H89" s="12" t="s">
        <v>265</v>
      </c>
      <c r="I89" s="11">
        <f>280+30+30+20+30+40+30</f>
        <v>460</v>
      </c>
      <c r="J89" s="11">
        <v>31</v>
      </c>
      <c r="K89" s="11">
        <v>82</v>
      </c>
      <c r="L89" s="13">
        <f>I89*J89</f>
        <v>14260</v>
      </c>
      <c r="M89" s="13">
        <f>I89/8*2*K89</f>
        <v>9430</v>
      </c>
      <c r="N89" s="13">
        <v>0</v>
      </c>
      <c r="O89" s="13">
        <f>SUM(L89:N89)</f>
        <v>23690</v>
      </c>
      <c r="P89" s="13">
        <v>0</v>
      </c>
      <c r="Q89" s="13">
        <v>0</v>
      </c>
      <c r="R89" s="13">
        <f>U89+V89-W89</f>
        <v>1400</v>
      </c>
      <c r="S89" s="13">
        <f>ROUND(O89-P89-Q89-R89,)</f>
        <v>22290</v>
      </c>
      <c r="T89" s="12"/>
      <c r="U89" s="2">
        <v>1400</v>
      </c>
    </row>
    <row r="90" spans="1:24" s="2" customFormat="1">
      <c r="A90" s="11">
        <f t="shared" si="5"/>
        <v>86</v>
      </c>
      <c r="B90" s="11">
        <v>10705</v>
      </c>
      <c r="C90" s="11" t="s">
        <v>266</v>
      </c>
      <c r="D90" s="12" t="s">
        <v>66</v>
      </c>
      <c r="E90" s="11" t="s">
        <v>27</v>
      </c>
      <c r="F90" s="11" t="s">
        <v>267</v>
      </c>
      <c r="G90" s="11" t="s">
        <v>68</v>
      </c>
      <c r="H90" s="11" t="s">
        <v>265</v>
      </c>
      <c r="I90" s="11">
        <f>280+30+30+20+20+20+30+30+5</f>
        <v>465</v>
      </c>
      <c r="J90" s="11">
        <v>28</v>
      </c>
      <c r="K90" s="11">
        <v>72</v>
      </c>
      <c r="L90" s="13">
        <f>I90*J90</f>
        <v>13020</v>
      </c>
      <c r="M90" s="13">
        <f>I90/8*2*K90</f>
        <v>8370</v>
      </c>
      <c r="N90" s="13">
        <v>0</v>
      </c>
      <c r="O90" s="13">
        <f>SUM(L90:N90)</f>
        <v>21390</v>
      </c>
      <c r="P90" s="13">
        <v>0</v>
      </c>
      <c r="Q90" s="13">
        <v>0</v>
      </c>
      <c r="R90" s="13">
        <f>U90+V90-W90</f>
        <v>13000</v>
      </c>
      <c r="S90" s="13">
        <f>ROUND(O90-P90-Q90-R90,)</f>
        <v>8390</v>
      </c>
      <c r="T90" s="12"/>
      <c r="U90" s="2">
        <v>2000</v>
      </c>
      <c r="V90" s="19">
        <v>11000</v>
      </c>
    </row>
    <row r="91" spans="1:24" s="2" customFormat="1">
      <c r="A91" s="11">
        <f t="shared" si="5"/>
        <v>87</v>
      </c>
      <c r="B91" s="11">
        <v>10734</v>
      </c>
      <c r="C91" s="11" t="s">
        <v>268</v>
      </c>
      <c r="D91" s="12" t="s">
        <v>36</v>
      </c>
      <c r="E91" s="11" t="s">
        <v>27</v>
      </c>
      <c r="F91" s="11" t="s">
        <v>269</v>
      </c>
      <c r="G91" s="11" t="s">
        <v>38</v>
      </c>
      <c r="H91" s="11" t="s">
        <v>265</v>
      </c>
      <c r="I91" s="11">
        <f>320+10+10+20+25+15+30+30</f>
        <v>460</v>
      </c>
      <c r="J91" s="11">
        <v>31</v>
      </c>
      <c r="K91" s="11">
        <v>72</v>
      </c>
      <c r="L91" s="13">
        <f>I91*J91</f>
        <v>14260</v>
      </c>
      <c r="M91" s="13">
        <f>I91/8*2*K91</f>
        <v>8280</v>
      </c>
      <c r="N91" s="13">
        <v>0</v>
      </c>
      <c r="O91" s="13">
        <f>SUM(L91:N91)</f>
        <v>22540</v>
      </c>
      <c r="P91" s="13">
        <v>0</v>
      </c>
      <c r="Q91" s="13">
        <v>0</v>
      </c>
      <c r="R91" s="13">
        <f>U91+V91-W91</f>
        <v>10800</v>
      </c>
      <c r="S91" s="13">
        <f>ROUND(O91-P91-Q91-R91,)</f>
        <v>11740</v>
      </c>
      <c r="T91" s="12"/>
      <c r="U91" s="2">
        <v>4800</v>
      </c>
      <c r="V91" s="2">
        <v>6000</v>
      </c>
    </row>
    <row r="92" spans="1:24" s="2" customFormat="1">
      <c r="A92" s="11">
        <f t="shared" si="5"/>
        <v>88</v>
      </c>
      <c r="B92" s="11">
        <v>11024</v>
      </c>
      <c r="C92" s="11" t="s">
        <v>270</v>
      </c>
      <c r="D92" s="12" t="s">
        <v>66</v>
      </c>
      <c r="E92" s="11" t="s">
        <v>140</v>
      </c>
      <c r="F92" s="11" t="s">
        <v>271</v>
      </c>
      <c r="G92" s="11" t="s">
        <v>142</v>
      </c>
      <c r="H92" s="11" t="s">
        <v>265</v>
      </c>
      <c r="I92" s="11">
        <f>17000+1000+2000+1250+1500+1500</f>
        <v>24250</v>
      </c>
      <c r="J92" s="11">
        <v>29</v>
      </c>
      <c r="K92" s="11">
        <v>0</v>
      </c>
      <c r="L92" s="13">
        <f>I92/31*J92</f>
        <v>22685.483870967742</v>
      </c>
      <c r="M92" s="13">
        <f>ROUND(I92/31/12*1*K92,0)</f>
        <v>0</v>
      </c>
      <c r="N92" s="13">
        <v>1500</v>
      </c>
      <c r="O92" s="13">
        <f>SUM(L92:N92)</f>
        <v>24185.483870967742</v>
      </c>
      <c r="P92" s="13">
        <v>0</v>
      </c>
      <c r="Q92" s="13">
        <v>0</v>
      </c>
      <c r="R92" s="13">
        <f>U92+V92-W92</f>
        <v>2000</v>
      </c>
      <c r="S92" s="13">
        <f>ROUND(O92-P92-Q92-R92,)</f>
        <v>22185</v>
      </c>
      <c r="T92" s="12"/>
      <c r="U92" s="2">
        <v>2000</v>
      </c>
    </row>
    <row r="93" spans="1:24" s="2" customFormat="1">
      <c r="A93" s="11">
        <f t="shared" si="5"/>
        <v>89</v>
      </c>
      <c r="B93" s="11">
        <v>11297</v>
      </c>
      <c r="C93" s="11" t="s">
        <v>272</v>
      </c>
      <c r="D93" s="11"/>
      <c r="E93" s="11" t="s">
        <v>273</v>
      </c>
      <c r="F93" s="11" t="s">
        <v>274</v>
      </c>
      <c r="G93" s="11" t="s">
        <v>275</v>
      </c>
      <c r="H93" s="12" t="s">
        <v>265</v>
      </c>
      <c r="I93" s="11">
        <f>19000+1500+1500+1500+1500</f>
        <v>25000</v>
      </c>
      <c r="J93" s="11">
        <v>31</v>
      </c>
      <c r="K93" s="11">
        <v>0</v>
      </c>
      <c r="L93" s="13">
        <f>I93/31*J93</f>
        <v>25000</v>
      </c>
      <c r="M93" s="13">
        <f>ROUND(I93/31/12*1*K93,0)</f>
        <v>0</v>
      </c>
      <c r="N93" s="13">
        <v>0</v>
      </c>
      <c r="O93" s="13">
        <f>SUM(L93:N93)</f>
        <v>25000</v>
      </c>
      <c r="P93" s="13">
        <v>0</v>
      </c>
      <c r="Q93" s="13">
        <v>0</v>
      </c>
      <c r="R93" s="13">
        <f>U93+V93-W93</f>
        <v>2000</v>
      </c>
      <c r="S93" s="13">
        <f>ROUND(O93-P93-Q93-R93,)</f>
        <v>23000</v>
      </c>
      <c r="T93" s="14"/>
      <c r="U93" s="2">
        <v>2000</v>
      </c>
    </row>
    <row r="94" spans="1:24" s="2" customFormat="1">
      <c r="A94" s="11">
        <f t="shared" si="5"/>
        <v>90</v>
      </c>
      <c r="B94" s="11">
        <v>10731</v>
      </c>
      <c r="C94" s="11" t="s">
        <v>276</v>
      </c>
      <c r="D94" s="12" t="s">
        <v>36</v>
      </c>
      <c r="E94" s="26" t="s">
        <v>27</v>
      </c>
      <c r="F94" s="28" t="s">
        <v>277</v>
      </c>
      <c r="G94" s="28" t="s">
        <v>38</v>
      </c>
      <c r="H94" s="12" t="s">
        <v>265</v>
      </c>
      <c r="I94" s="11">
        <f>280+20+20+30+30+30</f>
        <v>410</v>
      </c>
      <c r="J94" s="11">
        <v>31</v>
      </c>
      <c r="K94" s="11">
        <v>72</v>
      </c>
      <c r="L94" s="13">
        <f>I94*J94</f>
        <v>12710</v>
      </c>
      <c r="M94" s="13">
        <f>I94/8*2*K94</f>
        <v>7380</v>
      </c>
      <c r="N94" s="13">
        <v>0</v>
      </c>
      <c r="O94" s="13">
        <f>SUM(L94:N94)</f>
        <v>20090</v>
      </c>
      <c r="P94" s="13">
        <v>0</v>
      </c>
      <c r="Q94" s="13">
        <v>0</v>
      </c>
      <c r="R94" s="13">
        <f>U94+V94-W94</f>
        <v>1400</v>
      </c>
      <c r="S94" s="13">
        <f>ROUND(O94-P94-Q94-R94,)</f>
        <v>18690</v>
      </c>
      <c r="T94" s="14"/>
      <c r="U94" s="2">
        <v>1400</v>
      </c>
    </row>
    <row r="95" spans="1:24" s="2" customFormat="1">
      <c r="A95" s="11">
        <f t="shared" si="5"/>
        <v>91</v>
      </c>
      <c r="B95" s="11">
        <v>11388</v>
      </c>
      <c r="C95" s="11" t="s">
        <v>278</v>
      </c>
      <c r="D95" s="11"/>
      <c r="E95" s="11" t="s">
        <v>279</v>
      </c>
      <c r="F95" s="11" t="s">
        <v>280</v>
      </c>
      <c r="G95" s="11" t="s">
        <v>281</v>
      </c>
      <c r="H95" s="12" t="s">
        <v>265</v>
      </c>
      <c r="I95" s="11">
        <f>17000+1000+750+1500+1500+250</f>
        <v>22000</v>
      </c>
      <c r="J95" s="11">
        <v>28</v>
      </c>
      <c r="K95" s="11">
        <v>0</v>
      </c>
      <c r="L95" s="13">
        <f>I95/31*J95</f>
        <v>19870.967741935481</v>
      </c>
      <c r="M95" s="13">
        <f>ROUND(I95/31/12*1*K95,0)</f>
        <v>0</v>
      </c>
      <c r="N95" s="13">
        <v>0</v>
      </c>
      <c r="O95" s="13">
        <f>SUM(L95:N95)</f>
        <v>19870.967741935481</v>
      </c>
      <c r="P95" s="13">
        <v>0</v>
      </c>
      <c r="Q95" s="13">
        <v>0</v>
      </c>
      <c r="R95" s="13">
        <f>U95+V95-W95</f>
        <v>2000</v>
      </c>
      <c r="S95" s="13">
        <f>ROUND(O95-P95-Q95-R95,)</f>
        <v>17871</v>
      </c>
      <c r="T95" s="14"/>
      <c r="U95" s="2">
        <v>2000</v>
      </c>
    </row>
    <row r="96" spans="1:24" s="2" customFormat="1">
      <c r="A96" s="11">
        <f t="shared" si="5"/>
        <v>92</v>
      </c>
      <c r="B96" s="11">
        <v>11302</v>
      </c>
      <c r="C96" s="11" t="s">
        <v>282</v>
      </c>
      <c r="D96" s="12" t="s">
        <v>66</v>
      </c>
      <c r="E96" s="11" t="s">
        <v>27</v>
      </c>
      <c r="F96" s="11" t="s">
        <v>283</v>
      </c>
      <c r="G96" s="11" t="s">
        <v>68</v>
      </c>
      <c r="H96" s="12" t="s">
        <v>265</v>
      </c>
      <c r="I96" s="11">
        <f>21000+1500+1500</f>
        <v>24000</v>
      </c>
      <c r="J96" s="16">
        <v>18.5</v>
      </c>
      <c r="K96" s="11">
        <v>0</v>
      </c>
      <c r="L96" s="13">
        <f>I96/31*J96</f>
        <v>14322.580645161292</v>
      </c>
      <c r="M96" s="13">
        <f>ROUND(I96/31/12*1*K96,0)</f>
        <v>0</v>
      </c>
      <c r="N96" s="13">
        <v>0</v>
      </c>
      <c r="O96" s="13">
        <f>SUM(L96:N96)</f>
        <v>14322.580645161292</v>
      </c>
      <c r="P96" s="13">
        <v>0</v>
      </c>
      <c r="Q96" s="13">
        <v>0</v>
      </c>
      <c r="R96" s="13">
        <f>U96+V96-W96</f>
        <v>2000</v>
      </c>
      <c r="S96" s="13">
        <f>ROUND(O96-P96-Q96-R96,)</f>
        <v>12323</v>
      </c>
      <c r="T96" s="14"/>
      <c r="U96" s="2">
        <v>2000</v>
      </c>
    </row>
    <row r="97" spans="1:22" s="2" customFormat="1">
      <c r="A97" s="11">
        <f t="shared" ref="A97:A98" si="6">+A96+1</f>
        <v>93</v>
      </c>
      <c r="B97" s="11"/>
      <c r="C97" s="11" t="s">
        <v>300</v>
      </c>
      <c r="D97" s="11"/>
      <c r="E97" s="11"/>
      <c r="F97" s="11" t="s">
        <v>301</v>
      </c>
      <c r="G97" s="11" t="s">
        <v>302</v>
      </c>
      <c r="H97" s="26" t="s">
        <v>265</v>
      </c>
      <c r="I97" s="14">
        <v>410</v>
      </c>
      <c r="J97" s="11">
        <v>29</v>
      </c>
      <c r="K97" s="11">
        <v>72</v>
      </c>
      <c r="L97" s="13">
        <f>I97*J97</f>
        <v>11890</v>
      </c>
      <c r="M97" s="13">
        <f>I97/8*2*K97</f>
        <v>7380</v>
      </c>
      <c r="N97" s="13">
        <v>0</v>
      </c>
      <c r="O97" s="13">
        <f>SUM(L97:N97)</f>
        <v>19270</v>
      </c>
      <c r="P97" s="13">
        <v>0</v>
      </c>
      <c r="Q97" s="13">
        <v>0</v>
      </c>
      <c r="R97" s="13">
        <f>U97+V97-W97</f>
        <v>2000</v>
      </c>
      <c r="S97" s="13">
        <f>ROUND(O97-P97-Q97-R97,)</f>
        <v>17270</v>
      </c>
      <c r="T97" s="14"/>
      <c r="U97" s="2">
        <v>2000</v>
      </c>
    </row>
    <row r="98" spans="1:22" s="2" customFormat="1">
      <c r="A98" s="11">
        <f t="shared" si="6"/>
        <v>94</v>
      </c>
      <c r="B98" s="11">
        <v>11370</v>
      </c>
      <c r="C98" s="11" t="s">
        <v>287</v>
      </c>
      <c r="D98" s="26" t="s">
        <v>36</v>
      </c>
      <c r="E98" s="12" t="s">
        <v>27</v>
      </c>
      <c r="F98" s="25" t="s">
        <v>288</v>
      </c>
      <c r="G98" s="12" t="s">
        <v>38</v>
      </c>
      <c r="H98" s="12" t="s">
        <v>289</v>
      </c>
      <c r="I98" s="11">
        <f>15000+1500</f>
        <v>16500</v>
      </c>
      <c r="J98" s="11">
        <v>28</v>
      </c>
      <c r="K98" s="11">
        <v>0</v>
      </c>
      <c r="L98" s="13">
        <f>I98/31*J98</f>
        <v>14903.225806451614</v>
      </c>
      <c r="M98" s="13">
        <f>ROUND(I98/31/12*1*K98,0)</f>
        <v>0</v>
      </c>
      <c r="N98" s="13">
        <v>0</v>
      </c>
      <c r="O98" s="13">
        <f>SUM(L98:N98)</f>
        <v>14903.225806451614</v>
      </c>
      <c r="P98" s="13">
        <v>0</v>
      </c>
      <c r="Q98" s="13">
        <v>0</v>
      </c>
      <c r="R98" s="13">
        <f>U98+V98-W98</f>
        <v>0</v>
      </c>
      <c r="S98" s="13">
        <f>ROUND(O98-P98-Q98-R98,)</f>
        <v>14903</v>
      </c>
      <c r="T98" s="14"/>
      <c r="U98" s="2">
        <v>0</v>
      </c>
    </row>
    <row r="99" spans="1:22" s="2" customFormat="1">
      <c r="A99" s="11"/>
      <c r="B99" s="11"/>
      <c r="C99" s="12"/>
      <c r="D99" s="11"/>
      <c r="E99" s="11"/>
      <c r="F99" s="11"/>
      <c r="G99" s="11"/>
      <c r="H99" s="11"/>
      <c r="I99" s="14"/>
      <c r="J99" s="11"/>
      <c r="K99" s="11"/>
      <c r="L99" s="13"/>
      <c r="M99" s="13"/>
      <c r="N99" s="13"/>
      <c r="O99" s="13"/>
      <c r="P99" s="13"/>
      <c r="Q99" s="13"/>
      <c r="R99" s="13"/>
      <c r="S99" s="13"/>
      <c r="T99" s="14"/>
    </row>
    <row r="100" spans="1:22" s="2" customFormat="1">
      <c r="A100" s="11"/>
      <c r="B100" s="11"/>
      <c r="C100" s="12"/>
      <c r="D100" s="11"/>
      <c r="E100" s="11"/>
      <c r="F100" s="11"/>
      <c r="G100" s="11"/>
      <c r="H100" s="11"/>
      <c r="I100" s="14"/>
      <c r="J100" s="11"/>
      <c r="K100" s="11"/>
      <c r="L100" s="13"/>
      <c r="M100" s="13"/>
      <c r="N100" s="13"/>
      <c r="O100" s="13"/>
      <c r="P100" s="13"/>
      <c r="Q100" s="13"/>
      <c r="R100" s="13"/>
      <c r="S100" s="13"/>
      <c r="T100" s="14"/>
    </row>
    <row r="101" spans="1:22" s="2" customFormat="1">
      <c r="A101" s="11"/>
      <c r="B101" s="11"/>
      <c r="C101" s="12"/>
      <c r="D101" s="11"/>
      <c r="E101" s="11"/>
      <c r="F101" s="11"/>
      <c r="G101" s="11"/>
      <c r="H101" s="11"/>
      <c r="I101" s="14"/>
      <c r="J101" s="11"/>
      <c r="K101" s="11"/>
      <c r="L101" s="13"/>
      <c r="M101" s="13"/>
      <c r="N101" s="13"/>
      <c r="O101" s="13"/>
      <c r="P101" s="13"/>
      <c r="Q101" s="13"/>
      <c r="R101" s="13"/>
      <c r="S101" s="13"/>
      <c r="T101" s="14"/>
    </row>
    <row r="102" spans="1:22" s="2" customFormat="1">
      <c r="A102" s="11"/>
      <c r="B102" s="11"/>
      <c r="C102" s="12"/>
      <c r="D102" s="11"/>
      <c r="E102" s="11"/>
      <c r="F102" s="11"/>
      <c r="G102" s="11"/>
      <c r="H102" s="11"/>
      <c r="I102" s="14"/>
      <c r="J102" s="11"/>
      <c r="K102" s="11"/>
      <c r="L102" s="13"/>
      <c r="M102" s="13"/>
      <c r="N102" s="13"/>
      <c r="O102" s="13"/>
      <c r="P102" s="13"/>
      <c r="Q102" s="13"/>
      <c r="R102" s="13"/>
      <c r="S102" s="13"/>
      <c r="T102" s="14"/>
    </row>
    <row r="103" spans="1:22" s="2" customFormat="1">
      <c r="A103" s="11"/>
      <c r="B103" s="11"/>
      <c r="C103" s="12"/>
      <c r="D103" s="11"/>
      <c r="E103" s="11"/>
      <c r="F103" s="11"/>
      <c r="G103" s="11"/>
      <c r="H103" s="12"/>
      <c r="I103" s="11"/>
      <c r="J103" s="11"/>
      <c r="K103" s="11"/>
      <c r="L103" s="13"/>
      <c r="M103" s="13"/>
      <c r="N103" s="13"/>
      <c r="O103" s="13"/>
      <c r="P103" s="13"/>
      <c r="Q103" s="13"/>
      <c r="R103" s="13"/>
      <c r="S103" s="13"/>
      <c r="T103" s="14"/>
      <c r="U103" s="27"/>
      <c r="V103" s="27"/>
    </row>
    <row r="104" spans="1:22" s="2" customFormat="1">
      <c r="A104" s="11"/>
      <c r="B104" s="11"/>
      <c r="C104" s="14" t="s">
        <v>307</v>
      </c>
      <c r="D104" s="14"/>
      <c r="E104" s="14"/>
      <c r="F104" s="14"/>
      <c r="G104" s="14"/>
      <c r="H104" s="14"/>
      <c r="I104" s="14"/>
      <c r="J104" s="14"/>
      <c r="K104" s="14"/>
      <c r="L104" s="30">
        <f t="shared" ref="L104:S104" si="7">SUBTOTAL(9,L5:L103)</f>
        <v>1742296.6129032257</v>
      </c>
      <c r="M104" s="30">
        <f t="shared" si="7"/>
        <v>101233</v>
      </c>
      <c r="N104" s="30">
        <f t="shared" si="7"/>
        <v>69850</v>
      </c>
      <c r="O104" s="30">
        <f t="shared" si="7"/>
        <v>1913379.6129032257</v>
      </c>
      <c r="P104" s="30">
        <f t="shared" si="7"/>
        <v>44387</v>
      </c>
      <c r="Q104" s="30">
        <f t="shared" si="7"/>
        <v>78</v>
      </c>
      <c r="R104" s="30">
        <f t="shared" si="7"/>
        <v>364900</v>
      </c>
      <c r="S104" s="30">
        <f t="shared" si="7"/>
        <v>1504015</v>
      </c>
      <c r="T104" s="12"/>
      <c r="U104" s="27"/>
      <c r="V104" s="27"/>
    </row>
    <row r="105" spans="1:22">
      <c r="U105" s="27"/>
      <c r="V105" s="27"/>
    </row>
    <row r="106" spans="1:22">
      <c r="U106" s="27"/>
      <c r="V106" s="27"/>
    </row>
    <row r="109" spans="1:22">
      <c r="S109" s="20"/>
    </row>
  </sheetData>
  <autoFilter ref="A4:V98">
    <filterColumn colId="1"/>
    <filterColumn colId="3"/>
    <filterColumn colId="18"/>
  </autoFilter>
  <sortState ref="A32:X98">
    <sortCondition ref="H32:H98"/>
  </sortState>
  <mergeCells count="14">
    <mergeCell ref="L3:O3"/>
    <mergeCell ref="P3:R3"/>
    <mergeCell ref="S3:S4"/>
    <mergeCell ref="T3:T4"/>
    <mergeCell ref="A1:T1"/>
    <mergeCell ref="A2:T2"/>
    <mergeCell ref="A3:A4"/>
    <mergeCell ref="B3:B4"/>
    <mergeCell ref="C3:C4"/>
    <mergeCell ref="D3:G3"/>
    <mergeCell ref="H3:H4"/>
    <mergeCell ref="I3:I4"/>
    <mergeCell ref="J3:J4"/>
    <mergeCell ref="K3:K4"/>
  </mergeCells>
  <pageMargins left="0.19685039370078741" right="0.19685039370078741" top="0.35433070866141736" bottom="0.27559055118110237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8"/>
  <sheetViews>
    <sheetView tabSelected="1" workbookViewId="0">
      <selection activeCell="C105" sqref="C105:U105"/>
    </sheetView>
  </sheetViews>
  <sheetFormatPr defaultRowHeight="15"/>
  <cols>
    <col min="1" max="1" width="5.7109375" bestFit="1" customWidth="1"/>
    <col min="2" max="2" width="6" customWidth="1"/>
    <col min="3" max="3" width="32.85546875" bestFit="1" customWidth="1"/>
    <col min="4" max="4" width="11.140625" hidden="1" customWidth="1"/>
    <col min="5" max="5" width="27.28515625" hidden="1" customWidth="1"/>
    <col min="6" max="6" width="17.28515625" hidden="1" customWidth="1"/>
    <col min="7" max="7" width="14.42578125" hidden="1" customWidth="1"/>
    <col min="8" max="8" width="8.140625" bestFit="1" customWidth="1"/>
    <col min="9" max="9" width="6.140625" bestFit="1" customWidth="1"/>
    <col min="10" max="10" width="5.140625" bestFit="1" customWidth="1"/>
    <col min="11" max="11" width="3.42578125" bestFit="1" customWidth="1"/>
    <col min="12" max="12" width="12" bestFit="1" customWidth="1"/>
    <col min="13" max="13" width="9.7109375" bestFit="1" customWidth="1"/>
    <col min="14" max="14" width="8.42578125" customWidth="1"/>
    <col min="15" max="15" width="10.5703125" bestFit="1" customWidth="1"/>
    <col min="16" max="16" width="8.5703125" customWidth="1"/>
    <col min="17" max="17" width="6.28515625" bestFit="1" customWidth="1"/>
    <col min="18" max="18" width="11.28515625" bestFit="1" customWidth="1"/>
    <col min="19" max="19" width="10.28515625" customWidth="1"/>
    <col min="20" max="20" width="5.5703125" bestFit="1" customWidth="1"/>
    <col min="21" max="22" width="7" style="2" bestFit="1" customWidth="1"/>
    <col min="23" max="23" width="5" bestFit="1" customWidth="1"/>
    <col min="24" max="24" width="1.8554687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>
      <c r="A2" s="1" t="s">
        <v>315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4"/>
      <c r="F3" s="4"/>
      <c r="G3" s="4"/>
      <c r="H3" s="3" t="s">
        <v>6</v>
      </c>
      <c r="I3" s="3" t="s">
        <v>7</v>
      </c>
      <c r="J3" s="3" t="s">
        <v>8</v>
      </c>
      <c r="K3" s="3" t="s">
        <v>9</v>
      </c>
      <c r="L3" s="5" t="s">
        <v>10</v>
      </c>
      <c r="M3" s="4"/>
      <c r="N3" s="4"/>
      <c r="O3" s="4"/>
      <c r="P3" s="5" t="s">
        <v>11</v>
      </c>
      <c r="Q3" s="4"/>
      <c r="R3" s="4"/>
      <c r="S3" s="6" t="s">
        <v>12</v>
      </c>
      <c r="T3" s="3" t="s">
        <v>13</v>
      </c>
      <c r="U3" s="2">
        <f>SUBTOTAL(9,U5:U108)</f>
        <v>414800</v>
      </c>
      <c r="V3" s="2">
        <f>SUBTOTAL(9,V5:V108)</f>
        <v>170000</v>
      </c>
      <c r="W3" s="2">
        <f>SUBTOTAL(9,W5:W108)</f>
        <v>5000</v>
      </c>
      <c r="X3" s="2"/>
    </row>
    <row r="4" spans="1:24" ht="30">
      <c r="A4" s="4"/>
      <c r="B4" s="4"/>
      <c r="C4" s="4"/>
      <c r="D4" s="7" t="s">
        <v>14</v>
      </c>
      <c r="E4" s="8" t="s">
        <v>15</v>
      </c>
      <c r="F4" s="7" t="s">
        <v>16</v>
      </c>
      <c r="G4" s="7" t="s">
        <v>17</v>
      </c>
      <c r="H4" s="4"/>
      <c r="I4" s="4"/>
      <c r="J4" s="4"/>
      <c r="K4" s="4"/>
      <c r="L4" s="9" t="s">
        <v>18</v>
      </c>
      <c r="M4" s="10" t="s">
        <v>19</v>
      </c>
      <c r="N4" s="9" t="s">
        <v>20</v>
      </c>
      <c r="O4" s="9" t="s">
        <v>21</v>
      </c>
      <c r="P4" s="9" t="s">
        <v>22</v>
      </c>
      <c r="Q4" s="9" t="s">
        <v>23</v>
      </c>
      <c r="R4" s="9" t="s">
        <v>24</v>
      </c>
      <c r="S4" s="4"/>
      <c r="T4" s="4"/>
    </row>
    <row r="5" spans="1:24">
      <c r="A5" s="11">
        <v>1</v>
      </c>
      <c r="B5" s="11"/>
      <c r="C5" s="11" t="s">
        <v>25</v>
      </c>
      <c r="D5" s="12" t="s">
        <v>26</v>
      </c>
      <c r="E5" s="11" t="s">
        <v>27</v>
      </c>
      <c r="F5" s="11" t="s">
        <v>28</v>
      </c>
      <c r="G5" s="11" t="s">
        <v>29</v>
      </c>
      <c r="H5" s="12" t="s">
        <v>30</v>
      </c>
      <c r="I5" s="11">
        <f>50000+3000+7000+3500</f>
        <v>63500</v>
      </c>
      <c r="J5" s="11">
        <v>31</v>
      </c>
      <c r="K5" s="11"/>
      <c r="L5" s="13">
        <f t="shared" ref="L5:L36" si="0">I5/31*J5</f>
        <v>63500</v>
      </c>
      <c r="M5" s="13">
        <f t="shared" ref="M5:M36" si="1">ROUND(I5/31/12*1*K5,0)</f>
        <v>0</v>
      </c>
      <c r="N5" s="13">
        <v>0</v>
      </c>
      <c r="O5" s="13">
        <f t="shared" ref="O5:O36" si="2">SUM(L5:N5)</f>
        <v>63500</v>
      </c>
      <c r="P5" s="13">
        <v>0</v>
      </c>
      <c r="Q5" s="13">
        <v>0</v>
      </c>
      <c r="R5" s="13">
        <f t="shared" ref="R5:R68" si="3">U5+V5-W5</f>
        <v>0</v>
      </c>
      <c r="S5" s="13">
        <f t="shared" ref="S5:S68" si="4">ROUND(O5-P5-Q5-R5,)</f>
        <v>63500</v>
      </c>
      <c r="T5" s="12"/>
      <c r="U5"/>
      <c r="V5"/>
    </row>
    <row r="6" spans="1:24">
      <c r="A6" s="11">
        <f t="shared" ref="A6:A31" si="5">+A5+1</f>
        <v>2</v>
      </c>
      <c r="B6" s="11">
        <v>11435</v>
      </c>
      <c r="C6" s="11" t="s">
        <v>31</v>
      </c>
      <c r="D6" s="12" t="s">
        <v>26</v>
      </c>
      <c r="E6" s="11" t="s">
        <v>32</v>
      </c>
      <c r="F6" s="11" t="s">
        <v>33</v>
      </c>
      <c r="G6" s="11" t="s">
        <v>34</v>
      </c>
      <c r="H6" s="12" t="s">
        <v>30</v>
      </c>
      <c r="I6" s="11">
        <f>50000+3000+7000+3500</f>
        <v>63500</v>
      </c>
      <c r="J6" s="11">
        <v>31</v>
      </c>
      <c r="K6" s="11"/>
      <c r="L6" s="13">
        <f t="shared" si="0"/>
        <v>63500</v>
      </c>
      <c r="M6" s="13">
        <f t="shared" si="1"/>
        <v>0</v>
      </c>
      <c r="N6" s="13">
        <v>0</v>
      </c>
      <c r="O6" s="13">
        <f t="shared" si="2"/>
        <v>63500</v>
      </c>
      <c r="P6" s="13">
        <v>0</v>
      </c>
      <c r="Q6" s="13">
        <v>0</v>
      </c>
      <c r="R6" s="13">
        <f t="shared" si="3"/>
        <v>0</v>
      </c>
      <c r="S6" s="13">
        <f t="shared" si="4"/>
        <v>63500</v>
      </c>
      <c r="T6" s="12"/>
      <c r="U6"/>
      <c r="V6"/>
    </row>
    <row r="7" spans="1:24">
      <c r="A7" s="11">
        <f t="shared" si="5"/>
        <v>3</v>
      </c>
      <c r="B7" s="11">
        <v>3</v>
      </c>
      <c r="C7" s="11" t="s">
        <v>35</v>
      </c>
      <c r="D7" s="12" t="s">
        <v>36</v>
      </c>
      <c r="E7" s="11" t="s">
        <v>27</v>
      </c>
      <c r="F7" s="11" t="s">
        <v>37</v>
      </c>
      <c r="G7" s="11" t="s">
        <v>38</v>
      </c>
      <c r="H7" s="11" t="s">
        <v>39</v>
      </c>
      <c r="I7" s="11">
        <f>21900+2000+2000+2000+2000+2000+2500+2500</f>
        <v>36900</v>
      </c>
      <c r="J7" s="11">
        <v>31</v>
      </c>
      <c r="K7" s="11"/>
      <c r="L7" s="13">
        <f t="shared" si="0"/>
        <v>36900</v>
      </c>
      <c r="M7" s="13">
        <f t="shared" si="1"/>
        <v>0</v>
      </c>
      <c r="N7" s="13">
        <f>500+J7*50</f>
        <v>2050</v>
      </c>
      <c r="O7" s="13">
        <f t="shared" si="2"/>
        <v>38950</v>
      </c>
      <c r="P7" s="13">
        <v>1800</v>
      </c>
      <c r="Q7" s="13">
        <v>0</v>
      </c>
      <c r="R7" s="13">
        <f t="shared" si="3"/>
        <v>5000</v>
      </c>
      <c r="S7" s="13">
        <f t="shared" si="4"/>
        <v>32150</v>
      </c>
      <c r="T7" s="12"/>
      <c r="U7">
        <v>5000</v>
      </c>
      <c r="V7"/>
    </row>
    <row r="8" spans="1:24">
      <c r="A8" s="11">
        <f t="shared" si="5"/>
        <v>4</v>
      </c>
      <c r="B8" s="11">
        <v>5</v>
      </c>
      <c r="C8" s="11" t="s">
        <v>40</v>
      </c>
      <c r="D8" s="12" t="s">
        <v>41</v>
      </c>
      <c r="E8" s="11" t="s">
        <v>42</v>
      </c>
      <c r="F8" s="11" t="s">
        <v>43</v>
      </c>
      <c r="G8" s="11" t="s">
        <v>44</v>
      </c>
      <c r="H8" s="12" t="s">
        <v>45</v>
      </c>
      <c r="I8" s="11">
        <f>29500+4000+3000+3000+3000+3000+3500+3500</f>
        <v>52500</v>
      </c>
      <c r="J8" s="11">
        <v>27</v>
      </c>
      <c r="K8" s="11"/>
      <c r="L8" s="13">
        <f t="shared" si="0"/>
        <v>45725.806451612902</v>
      </c>
      <c r="M8" s="13">
        <f t="shared" si="1"/>
        <v>0</v>
      </c>
      <c r="N8" s="13">
        <f>500+J8*50</f>
        <v>1850</v>
      </c>
      <c r="O8" s="13">
        <f t="shared" si="2"/>
        <v>47575.806451612902</v>
      </c>
      <c r="P8" s="13">
        <v>1800</v>
      </c>
      <c r="Q8" s="13">
        <v>0</v>
      </c>
      <c r="R8" s="13">
        <f t="shared" si="3"/>
        <v>0</v>
      </c>
      <c r="S8" s="13">
        <f t="shared" si="4"/>
        <v>45776</v>
      </c>
      <c r="T8" s="12"/>
      <c r="U8">
        <v>0</v>
      </c>
      <c r="V8"/>
    </row>
    <row r="9" spans="1:24">
      <c r="A9" s="11">
        <f t="shared" si="5"/>
        <v>5</v>
      </c>
      <c r="B9" s="11">
        <v>14</v>
      </c>
      <c r="C9" s="11" t="s">
        <v>46</v>
      </c>
      <c r="D9" s="12" t="s">
        <v>41</v>
      </c>
      <c r="E9" s="11" t="s">
        <v>47</v>
      </c>
      <c r="F9" s="11" t="s">
        <v>48</v>
      </c>
      <c r="G9" s="11" t="s">
        <v>49</v>
      </c>
      <c r="H9" s="11" t="s">
        <v>50</v>
      </c>
      <c r="I9" s="11">
        <f>17000+2000+1500+1500-1000+2000+2250+2500+2500</f>
        <v>30250</v>
      </c>
      <c r="J9" s="11">
        <v>30</v>
      </c>
      <c r="K9" s="11"/>
      <c r="L9" s="13">
        <f t="shared" si="0"/>
        <v>29274.193548387095</v>
      </c>
      <c r="M9" s="13">
        <f t="shared" si="1"/>
        <v>0</v>
      </c>
      <c r="N9" s="13">
        <f>1800+J9*50</f>
        <v>3300</v>
      </c>
      <c r="O9" s="13">
        <f t="shared" si="2"/>
        <v>32574.193548387095</v>
      </c>
      <c r="P9" s="13">
        <v>1800</v>
      </c>
      <c r="Q9" s="13">
        <v>0</v>
      </c>
      <c r="R9" s="13">
        <f t="shared" si="3"/>
        <v>5000</v>
      </c>
      <c r="S9" s="13">
        <f t="shared" si="4"/>
        <v>25774</v>
      </c>
      <c r="T9" s="14"/>
      <c r="U9">
        <v>5000</v>
      </c>
      <c r="V9"/>
    </row>
    <row r="10" spans="1:24" ht="15.75">
      <c r="A10" s="11">
        <f t="shared" si="5"/>
        <v>6</v>
      </c>
      <c r="B10" s="11">
        <v>21</v>
      </c>
      <c r="C10" s="11" t="s">
        <v>51</v>
      </c>
      <c r="D10" s="12" t="s">
        <v>41</v>
      </c>
      <c r="E10" s="12" t="s">
        <v>52</v>
      </c>
      <c r="F10" s="15" t="s">
        <v>53</v>
      </c>
      <c r="G10" s="12" t="s">
        <v>54</v>
      </c>
      <c r="H10" s="11" t="s">
        <v>55</v>
      </c>
      <c r="I10" s="11">
        <f>32500+3000+3000+3000+2500+2000+2500+2500</f>
        <v>51000</v>
      </c>
      <c r="J10" s="12">
        <v>29</v>
      </c>
      <c r="K10" s="11"/>
      <c r="L10" s="13">
        <f t="shared" si="0"/>
        <v>47709.677419354841</v>
      </c>
      <c r="M10" s="13">
        <f t="shared" si="1"/>
        <v>0</v>
      </c>
      <c r="N10" s="13">
        <f>500+J10*50*1</f>
        <v>1950</v>
      </c>
      <c r="O10" s="13">
        <f t="shared" si="2"/>
        <v>49659.677419354841</v>
      </c>
      <c r="P10" s="13">
        <v>1800</v>
      </c>
      <c r="Q10" s="13">
        <v>0</v>
      </c>
      <c r="R10" s="13">
        <f t="shared" si="3"/>
        <v>10000</v>
      </c>
      <c r="S10" s="13">
        <f t="shared" si="4"/>
        <v>37860</v>
      </c>
      <c r="T10" s="12"/>
      <c r="U10">
        <v>10000</v>
      </c>
      <c r="V10"/>
    </row>
    <row r="11" spans="1:24">
      <c r="A11" s="11">
        <f t="shared" si="5"/>
        <v>7</v>
      </c>
      <c r="B11" s="11">
        <v>22</v>
      </c>
      <c r="C11" s="11" t="s">
        <v>56</v>
      </c>
      <c r="D11" s="11" t="s">
        <v>41</v>
      </c>
      <c r="E11" s="11" t="s">
        <v>57</v>
      </c>
      <c r="F11" s="11" t="s">
        <v>58</v>
      </c>
      <c r="G11" s="11" t="s">
        <v>59</v>
      </c>
      <c r="H11" s="11" t="s">
        <v>39</v>
      </c>
      <c r="I11" s="11">
        <f>20000+2000+3000+2500+2500+2500+3000+3000</f>
        <v>38500</v>
      </c>
      <c r="J11" s="11">
        <v>29</v>
      </c>
      <c r="K11" s="11"/>
      <c r="L11" s="13">
        <f t="shared" si="0"/>
        <v>36016.129032258068</v>
      </c>
      <c r="M11" s="13">
        <f t="shared" si="1"/>
        <v>0</v>
      </c>
      <c r="N11" s="13">
        <f>500+J11*50*2</f>
        <v>3400</v>
      </c>
      <c r="O11" s="13">
        <f t="shared" si="2"/>
        <v>39416.129032258068</v>
      </c>
      <c r="P11" s="13">
        <v>1800</v>
      </c>
      <c r="Q11" s="13">
        <v>0</v>
      </c>
      <c r="R11" s="13">
        <f t="shared" si="3"/>
        <v>0</v>
      </c>
      <c r="S11" s="13">
        <f t="shared" si="4"/>
        <v>37616</v>
      </c>
      <c r="T11" s="12"/>
      <c r="U11">
        <v>0</v>
      </c>
      <c r="V11"/>
    </row>
    <row r="12" spans="1:24">
      <c r="A12" s="11">
        <f t="shared" si="5"/>
        <v>8</v>
      </c>
      <c r="B12" s="11">
        <v>30</v>
      </c>
      <c r="C12" s="11" t="s">
        <v>60</v>
      </c>
      <c r="D12" s="12" t="s">
        <v>41</v>
      </c>
      <c r="E12" s="11" t="s">
        <v>27</v>
      </c>
      <c r="F12" s="11" t="s">
        <v>61</v>
      </c>
      <c r="G12" s="11" t="s">
        <v>54</v>
      </c>
      <c r="H12" s="11" t="s">
        <v>39</v>
      </c>
      <c r="I12" s="11">
        <f>23000+4000+1500+3000+3000+2500+2500+3500+3500</f>
        <v>46500</v>
      </c>
      <c r="J12" s="11">
        <v>26</v>
      </c>
      <c r="K12" s="11"/>
      <c r="L12" s="13">
        <f t="shared" si="0"/>
        <v>39000</v>
      </c>
      <c r="M12" s="13">
        <f t="shared" si="1"/>
        <v>0</v>
      </c>
      <c r="N12" s="13">
        <f>4000+J12*50</f>
        <v>5300</v>
      </c>
      <c r="O12" s="13">
        <f t="shared" si="2"/>
        <v>44300</v>
      </c>
      <c r="P12" s="13">
        <v>1800</v>
      </c>
      <c r="Q12" s="13">
        <v>0</v>
      </c>
      <c r="R12" s="13">
        <f t="shared" si="3"/>
        <v>23000</v>
      </c>
      <c r="S12" s="13">
        <f t="shared" si="4"/>
        <v>19500</v>
      </c>
      <c r="T12" s="12"/>
      <c r="U12">
        <v>13000</v>
      </c>
      <c r="V12">
        <v>10000</v>
      </c>
    </row>
    <row r="13" spans="1:24">
      <c r="A13" s="11">
        <f t="shared" si="5"/>
        <v>9</v>
      </c>
      <c r="B13" s="11">
        <v>33</v>
      </c>
      <c r="C13" s="11" t="s">
        <v>62</v>
      </c>
      <c r="D13" s="11" t="s">
        <v>41</v>
      </c>
      <c r="E13" s="11" t="s">
        <v>57</v>
      </c>
      <c r="F13" s="11" t="s">
        <v>63</v>
      </c>
      <c r="G13" s="11" t="s">
        <v>59</v>
      </c>
      <c r="H13" s="11" t="s">
        <v>64</v>
      </c>
      <c r="I13" s="11">
        <f>14000+1500+2000+1500+1500+1500+1500+250+1750</f>
        <v>25500</v>
      </c>
      <c r="J13" s="11">
        <v>31</v>
      </c>
      <c r="K13" s="11"/>
      <c r="L13" s="13">
        <f t="shared" si="0"/>
        <v>25500</v>
      </c>
      <c r="M13" s="13">
        <f t="shared" si="1"/>
        <v>0</v>
      </c>
      <c r="N13" s="13">
        <f>900+J13*50*2</f>
        <v>4000</v>
      </c>
      <c r="O13" s="13">
        <f t="shared" si="2"/>
        <v>29500</v>
      </c>
      <c r="P13" s="13">
        <v>1675</v>
      </c>
      <c r="Q13" s="13">
        <v>0</v>
      </c>
      <c r="R13" s="13">
        <f t="shared" si="3"/>
        <v>5000</v>
      </c>
      <c r="S13" s="13">
        <f t="shared" si="4"/>
        <v>22825</v>
      </c>
      <c r="T13" s="14"/>
      <c r="U13">
        <v>5000</v>
      </c>
      <c r="V13"/>
    </row>
    <row r="14" spans="1:24">
      <c r="A14" s="11">
        <f t="shared" si="5"/>
        <v>10</v>
      </c>
      <c r="B14" s="11">
        <v>36</v>
      </c>
      <c r="C14" s="11" t="s">
        <v>65</v>
      </c>
      <c r="D14" s="12" t="s">
        <v>66</v>
      </c>
      <c r="E14" s="11" t="s">
        <v>27</v>
      </c>
      <c r="F14" s="11" t="s">
        <v>67</v>
      </c>
      <c r="G14" s="11" t="s">
        <v>68</v>
      </c>
      <c r="H14" s="11" t="s">
        <v>69</v>
      </c>
      <c r="I14" s="11">
        <f>20000+1500+1500+1500+1500+2000+2000+2000</f>
        <v>32000</v>
      </c>
      <c r="J14" s="16">
        <f>30</f>
        <v>30</v>
      </c>
      <c r="K14" s="11"/>
      <c r="L14" s="13">
        <f t="shared" si="0"/>
        <v>30967.741935483871</v>
      </c>
      <c r="M14" s="13">
        <f t="shared" si="1"/>
        <v>0</v>
      </c>
      <c r="N14" s="13">
        <v>2100</v>
      </c>
      <c r="O14" s="13">
        <f t="shared" si="2"/>
        <v>33067.741935483871</v>
      </c>
      <c r="P14" s="13">
        <v>1800</v>
      </c>
      <c r="Q14" s="13">
        <v>0</v>
      </c>
      <c r="R14" s="13">
        <f t="shared" si="3"/>
        <v>5000</v>
      </c>
      <c r="S14" s="13">
        <f t="shared" si="4"/>
        <v>26268</v>
      </c>
      <c r="T14" s="14"/>
      <c r="U14">
        <v>5000</v>
      </c>
      <c r="V14"/>
    </row>
    <row r="15" spans="1:24">
      <c r="A15" s="11">
        <f t="shared" si="5"/>
        <v>11</v>
      </c>
      <c r="B15" s="11">
        <v>91</v>
      </c>
      <c r="C15" s="11" t="s">
        <v>70</v>
      </c>
      <c r="D15" s="12" t="s">
        <v>71</v>
      </c>
      <c r="E15" s="11" t="s">
        <v>27</v>
      </c>
      <c r="F15" s="11" t="s">
        <v>72</v>
      </c>
      <c r="G15" s="11" t="s">
        <v>73</v>
      </c>
      <c r="H15" s="11" t="s">
        <v>39</v>
      </c>
      <c r="I15" s="11">
        <f>21800+3000+1000+3000+2500+2000+1500+2500+2500</f>
        <v>39800</v>
      </c>
      <c r="J15" s="11">
        <v>3</v>
      </c>
      <c r="K15" s="11"/>
      <c r="L15" s="13">
        <f t="shared" si="0"/>
        <v>3851.6129032258059</v>
      </c>
      <c r="M15" s="13">
        <f t="shared" si="1"/>
        <v>0</v>
      </c>
      <c r="N15" s="13">
        <f>500+J15*50</f>
        <v>650</v>
      </c>
      <c r="O15" s="13">
        <f t="shared" si="2"/>
        <v>4501.6129032258059</v>
      </c>
      <c r="P15" s="13">
        <v>270</v>
      </c>
      <c r="Q15" s="13">
        <v>0</v>
      </c>
      <c r="R15" s="13">
        <f t="shared" si="3"/>
        <v>4000</v>
      </c>
      <c r="S15" s="13">
        <f t="shared" si="4"/>
        <v>232</v>
      </c>
      <c r="T15" s="14"/>
      <c r="U15">
        <v>4000</v>
      </c>
      <c r="V15"/>
    </row>
    <row r="16" spans="1:24">
      <c r="A16" s="11">
        <f t="shared" si="5"/>
        <v>12</v>
      </c>
      <c r="B16" s="11">
        <v>95</v>
      </c>
      <c r="C16" s="11" t="s">
        <v>74</v>
      </c>
      <c r="D16" s="12" t="s">
        <v>41</v>
      </c>
      <c r="E16" s="11" t="s">
        <v>27</v>
      </c>
      <c r="F16" s="11" t="s">
        <v>75</v>
      </c>
      <c r="G16" s="11" t="s">
        <v>54</v>
      </c>
      <c r="H16" s="11" t="s">
        <v>39</v>
      </c>
      <c r="I16" s="11">
        <f>15500+3500+1500+2000+2500+2500+2500+3000+3000</f>
        <v>36000</v>
      </c>
      <c r="J16" s="11">
        <v>29</v>
      </c>
      <c r="K16" s="11"/>
      <c r="L16" s="13">
        <f t="shared" si="0"/>
        <v>33677.419354838712</v>
      </c>
      <c r="M16" s="13">
        <f t="shared" si="1"/>
        <v>0</v>
      </c>
      <c r="N16" s="13">
        <f>300+J16*50</f>
        <v>1750</v>
      </c>
      <c r="O16" s="13">
        <f t="shared" si="2"/>
        <v>35427.419354838712</v>
      </c>
      <c r="P16" s="13">
        <v>1800</v>
      </c>
      <c r="Q16" s="13">
        <v>0</v>
      </c>
      <c r="R16" s="13">
        <f t="shared" si="3"/>
        <v>5000</v>
      </c>
      <c r="S16" s="13">
        <f t="shared" si="4"/>
        <v>28627</v>
      </c>
      <c r="T16" s="12"/>
      <c r="U16">
        <v>5000</v>
      </c>
      <c r="V16"/>
    </row>
    <row r="17" spans="1:22">
      <c r="A17" s="11">
        <f t="shared" si="5"/>
        <v>13</v>
      </c>
      <c r="B17" s="11">
        <v>142</v>
      </c>
      <c r="C17" s="11" t="s">
        <v>76</v>
      </c>
      <c r="D17" s="12" t="s">
        <v>66</v>
      </c>
      <c r="E17" s="11" t="s">
        <v>27</v>
      </c>
      <c r="F17" s="11" t="s">
        <v>77</v>
      </c>
      <c r="G17" s="11" t="s">
        <v>68</v>
      </c>
      <c r="H17" s="11" t="s">
        <v>55</v>
      </c>
      <c r="I17" s="11">
        <f>27500+3000+3000+3000+2500+3000+3000+3000</f>
        <v>48000</v>
      </c>
      <c r="J17" s="11">
        <v>31</v>
      </c>
      <c r="K17" s="11"/>
      <c r="L17" s="13">
        <f t="shared" si="0"/>
        <v>48000</v>
      </c>
      <c r="M17" s="13">
        <f t="shared" si="1"/>
        <v>0</v>
      </c>
      <c r="N17" s="13">
        <f>300+J17*50*2</f>
        <v>3400</v>
      </c>
      <c r="O17" s="13">
        <f t="shared" si="2"/>
        <v>51400</v>
      </c>
      <c r="P17" s="13">
        <v>1800</v>
      </c>
      <c r="Q17" s="13">
        <v>0</v>
      </c>
      <c r="R17" s="13">
        <f t="shared" si="3"/>
        <v>5000</v>
      </c>
      <c r="S17" s="13">
        <f t="shared" si="4"/>
        <v>44600</v>
      </c>
      <c r="T17" s="14"/>
      <c r="U17">
        <v>5000</v>
      </c>
      <c r="V17"/>
    </row>
    <row r="18" spans="1:22">
      <c r="A18" s="11">
        <f t="shared" si="5"/>
        <v>14</v>
      </c>
      <c r="B18" s="11">
        <v>159</v>
      </c>
      <c r="C18" s="11" t="s">
        <v>78</v>
      </c>
      <c r="D18" s="12" t="s">
        <v>66</v>
      </c>
      <c r="E18" s="11" t="s">
        <v>27</v>
      </c>
      <c r="F18" s="11" t="s">
        <v>79</v>
      </c>
      <c r="G18" s="11" t="s">
        <v>68</v>
      </c>
      <c r="H18" s="11" t="s">
        <v>80</v>
      </c>
      <c r="I18" s="11">
        <f>21000+2000+2500+2000+2500+2500+2500+2500</f>
        <v>37500</v>
      </c>
      <c r="J18" s="11">
        <v>31</v>
      </c>
      <c r="K18" s="11"/>
      <c r="L18" s="13">
        <f t="shared" si="0"/>
        <v>37500</v>
      </c>
      <c r="M18" s="13">
        <f t="shared" si="1"/>
        <v>0</v>
      </c>
      <c r="N18" s="13">
        <f>2500+J18*50</f>
        <v>4050</v>
      </c>
      <c r="O18" s="13">
        <f t="shared" si="2"/>
        <v>41550</v>
      </c>
      <c r="P18" s="13">
        <v>1800</v>
      </c>
      <c r="Q18" s="13">
        <v>0</v>
      </c>
      <c r="R18" s="13">
        <f t="shared" si="3"/>
        <v>5000</v>
      </c>
      <c r="S18" s="13">
        <f t="shared" si="4"/>
        <v>34750</v>
      </c>
      <c r="T18" s="14"/>
      <c r="U18">
        <v>5000</v>
      </c>
      <c r="V18"/>
    </row>
    <row r="19" spans="1:22">
      <c r="A19" s="11">
        <f t="shared" si="5"/>
        <v>15</v>
      </c>
      <c r="B19" s="11">
        <v>175</v>
      </c>
      <c r="C19" s="11" t="s">
        <v>81</v>
      </c>
      <c r="D19" s="11"/>
      <c r="E19" s="11" t="s">
        <v>82</v>
      </c>
      <c r="F19" s="11" t="s">
        <v>83</v>
      </c>
      <c r="G19" s="11" t="s">
        <v>84</v>
      </c>
      <c r="H19" s="11" t="s">
        <v>85</v>
      </c>
      <c r="I19" s="11">
        <f>13500+2000+2500+2000+2500+2000+2500+2000+2500</f>
        <v>31500</v>
      </c>
      <c r="J19" s="11">
        <v>26</v>
      </c>
      <c r="K19" s="11"/>
      <c r="L19" s="13">
        <f t="shared" si="0"/>
        <v>26419.354838709678</v>
      </c>
      <c r="M19" s="13">
        <f t="shared" si="1"/>
        <v>0</v>
      </c>
      <c r="N19" s="13">
        <f>+J19*50*2</f>
        <v>2600</v>
      </c>
      <c r="O19" s="13">
        <f t="shared" si="2"/>
        <v>29019.354838709678</v>
      </c>
      <c r="P19" s="13">
        <v>1797</v>
      </c>
      <c r="Q19" s="13">
        <v>0</v>
      </c>
      <c r="R19" s="13">
        <f t="shared" si="3"/>
        <v>6500</v>
      </c>
      <c r="S19" s="13">
        <f t="shared" si="4"/>
        <v>20722</v>
      </c>
      <c r="T19" s="17"/>
      <c r="U19">
        <v>6500</v>
      </c>
      <c r="V19"/>
    </row>
    <row r="20" spans="1:22">
      <c r="A20" s="11">
        <f t="shared" si="5"/>
        <v>16</v>
      </c>
      <c r="B20" s="11">
        <v>213</v>
      </c>
      <c r="C20" s="11" t="s">
        <v>86</v>
      </c>
      <c r="D20" s="12" t="s">
        <v>41</v>
      </c>
      <c r="E20" s="11" t="s">
        <v>87</v>
      </c>
      <c r="F20" s="11" t="s">
        <v>88</v>
      </c>
      <c r="G20" s="11" t="s">
        <v>89</v>
      </c>
      <c r="H20" s="11" t="s">
        <v>90</v>
      </c>
      <c r="I20" s="11">
        <f>17500+2000+3000+2500+2500+2500+3000+3000</f>
        <v>36000</v>
      </c>
      <c r="J20" s="11">
        <v>28</v>
      </c>
      <c r="K20" s="11"/>
      <c r="L20" s="13">
        <f t="shared" si="0"/>
        <v>32516.129032258064</v>
      </c>
      <c r="M20" s="13">
        <f t="shared" si="1"/>
        <v>0</v>
      </c>
      <c r="N20" s="13">
        <f>500+J20*50</f>
        <v>1900</v>
      </c>
      <c r="O20" s="13">
        <f t="shared" si="2"/>
        <v>34416.129032258061</v>
      </c>
      <c r="P20" s="13">
        <v>1800</v>
      </c>
      <c r="Q20" s="13">
        <v>0</v>
      </c>
      <c r="R20" s="13">
        <f t="shared" si="3"/>
        <v>5000</v>
      </c>
      <c r="S20" s="13">
        <f t="shared" si="4"/>
        <v>27616</v>
      </c>
      <c r="T20" s="14"/>
      <c r="U20">
        <v>5000</v>
      </c>
      <c r="V20"/>
    </row>
    <row r="21" spans="1:22">
      <c r="A21" s="11">
        <f t="shared" si="5"/>
        <v>17</v>
      </c>
      <c r="B21" s="11">
        <v>258</v>
      </c>
      <c r="C21" s="11" t="s">
        <v>91</v>
      </c>
      <c r="D21" s="12" t="s">
        <v>41</v>
      </c>
      <c r="E21" s="11" t="s">
        <v>92</v>
      </c>
      <c r="F21" s="11" t="s">
        <v>93</v>
      </c>
      <c r="G21" s="11" t="s">
        <v>94</v>
      </c>
      <c r="H21" s="11" t="s">
        <v>39</v>
      </c>
      <c r="I21" s="11">
        <f>18000+2000+2500+2500+2500+2500+3000+3000</f>
        <v>36000</v>
      </c>
      <c r="J21" s="11">
        <v>29</v>
      </c>
      <c r="K21" s="11"/>
      <c r="L21" s="13">
        <f t="shared" si="0"/>
        <v>33677.419354838712</v>
      </c>
      <c r="M21" s="13">
        <f t="shared" si="1"/>
        <v>0</v>
      </c>
      <c r="N21" s="13">
        <f>300+J21*50</f>
        <v>1750</v>
      </c>
      <c r="O21" s="13">
        <f t="shared" si="2"/>
        <v>35427.419354838712</v>
      </c>
      <c r="P21" s="13">
        <v>1800</v>
      </c>
      <c r="Q21" s="13">
        <v>0</v>
      </c>
      <c r="R21" s="13">
        <f t="shared" si="3"/>
        <v>11500</v>
      </c>
      <c r="S21" s="13">
        <f t="shared" si="4"/>
        <v>22127</v>
      </c>
      <c r="T21" s="14"/>
      <c r="U21">
        <v>6500</v>
      </c>
      <c r="V21">
        <v>5000</v>
      </c>
    </row>
    <row r="22" spans="1:22">
      <c r="A22" s="11">
        <f t="shared" si="5"/>
        <v>18</v>
      </c>
      <c r="B22" s="11">
        <v>10435</v>
      </c>
      <c r="C22" s="11" t="s">
        <v>95</v>
      </c>
      <c r="D22" s="12" t="s">
        <v>66</v>
      </c>
      <c r="E22" s="11" t="s">
        <v>27</v>
      </c>
      <c r="F22" s="11" t="s">
        <v>96</v>
      </c>
      <c r="G22" s="11" t="s">
        <v>68</v>
      </c>
      <c r="H22" s="11" t="s">
        <v>39</v>
      </c>
      <c r="I22" s="11">
        <f>17500+2000+2000+2000+2000+2000+2000+2000</f>
        <v>31500</v>
      </c>
      <c r="J22" s="11">
        <v>31</v>
      </c>
      <c r="K22" s="11"/>
      <c r="L22" s="13">
        <f t="shared" si="0"/>
        <v>31500</v>
      </c>
      <c r="M22" s="13">
        <f t="shared" si="1"/>
        <v>0</v>
      </c>
      <c r="N22" s="13">
        <f>300+J22*50</f>
        <v>1850</v>
      </c>
      <c r="O22" s="13">
        <f t="shared" si="2"/>
        <v>33350</v>
      </c>
      <c r="P22" s="13">
        <v>1800</v>
      </c>
      <c r="Q22" s="13">
        <v>0</v>
      </c>
      <c r="R22" s="13">
        <f t="shared" si="3"/>
        <v>5000</v>
      </c>
      <c r="S22" s="13">
        <f t="shared" si="4"/>
        <v>26550</v>
      </c>
      <c r="T22" s="14"/>
      <c r="U22">
        <v>5000</v>
      </c>
      <c r="V22"/>
    </row>
    <row r="23" spans="1:22">
      <c r="A23" s="11">
        <f t="shared" si="5"/>
        <v>19</v>
      </c>
      <c r="B23" s="11">
        <v>10442</v>
      </c>
      <c r="C23" s="11" t="s">
        <v>97</v>
      </c>
      <c r="D23" s="12" t="s">
        <v>66</v>
      </c>
      <c r="E23" s="11" t="s">
        <v>27</v>
      </c>
      <c r="F23" s="11" t="s">
        <v>98</v>
      </c>
      <c r="G23" s="11" t="s">
        <v>68</v>
      </c>
      <c r="H23" s="11" t="s">
        <v>99</v>
      </c>
      <c r="I23" s="11">
        <f>17000+1500+2000+1500+2000+1500+2000+2000+2000</f>
        <v>31500</v>
      </c>
      <c r="J23" s="11">
        <v>31</v>
      </c>
      <c r="K23" s="11"/>
      <c r="L23" s="13">
        <f t="shared" si="0"/>
        <v>31500</v>
      </c>
      <c r="M23" s="13">
        <f t="shared" si="1"/>
        <v>0</v>
      </c>
      <c r="N23" s="13">
        <f>1000+900</f>
        <v>1900</v>
      </c>
      <c r="O23" s="13">
        <f t="shared" si="2"/>
        <v>33400</v>
      </c>
      <c r="P23" s="13">
        <v>1800</v>
      </c>
      <c r="Q23" s="13">
        <v>0</v>
      </c>
      <c r="R23" s="13">
        <f t="shared" si="3"/>
        <v>5000</v>
      </c>
      <c r="S23" s="13">
        <f t="shared" si="4"/>
        <v>26600</v>
      </c>
      <c r="T23" s="14"/>
      <c r="U23">
        <v>5000</v>
      </c>
      <c r="V23"/>
    </row>
    <row r="24" spans="1:22">
      <c r="A24" s="11">
        <f t="shared" si="5"/>
        <v>20</v>
      </c>
      <c r="B24" s="11">
        <v>10483</v>
      </c>
      <c r="C24" s="11" t="s">
        <v>100</v>
      </c>
      <c r="D24" s="11"/>
      <c r="E24" s="11" t="s">
        <v>101</v>
      </c>
      <c r="F24" s="11" t="s">
        <v>102</v>
      </c>
      <c r="G24" s="11" t="s">
        <v>103</v>
      </c>
      <c r="H24" s="11" t="s">
        <v>104</v>
      </c>
      <c r="I24" s="11">
        <f>6000+1000+1000+1000+1000</f>
        <v>10000</v>
      </c>
      <c r="J24" s="11">
        <v>31</v>
      </c>
      <c r="K24" s="11">
        <v>0</v>
      </c>
      <c r="L24" s="13">
        <f t="shared" si="0"/>
        <v>10000</v>
      </c>
      <c r="M24" s="13">
        <f t="shared" si="1"/>
        <v>0</v>
      </c>
      <c r="N24" s="13">
        <v>0</v>
      </c>
      <c r="O24" s="13">
        <f t="shared" si="2"/>
        <v>10000</v>
      </c>
      <c r="P24" s="13">
        <v>771</v>
      </c>
      <c r="Q24" s="13">
        <v>78</v>
      </c>
      <c r="R24" s="13">
        <f t="shared" si="3"/>
        <v>0</v>
      </c>
      <c r="S24" s="13">
        <f t="shared" si="4"/>
        <v>9151</v>
      </c>
      <c r="T24" s="12"/>
      <c r="U24">
        <v>0</v>
      </c>
      <c r="V24"/>
    </row>
    <row r="25" spans="1:22">
      <c r="A25" s="11">
        <f t="shared" si="5"/>
        <v>21</v>
      </c>
      <c r="B25" s="11">
        <v>10497</v>
      </c>
      <c r="C25" s="11" t="s">
        <v>105</v>
      </c>
      <c r="D25" s="12" t="s">
        <v>41</v>
      </c>
      <c r="E25" s="11" t="s">
        <v>106</v>
      </c>
      <c r="F25" s="11" t="s">
        <v>107</v>
      </c>
      <c r="G25" s="11" t="s">
        <v>108</v>
      </c>
      <c r="H25" s="11" t="s">
        <v>99</v>
      </c>
      <c r="I25" s="11">
        <f>17000+1500+2500+2000+1500+2000+2000+2000</f>
        <v>30500</v>
      </c>
      <c r="J25" s="12">
        <v>30</v>
      </c>
      <c r="K25" s="11"/>
      <c r="L25" s="13">
        <f t="shared" si="0"/>
        <v>29516.129032258064</v>
      </c>
      <c r="M25" s="13">
        <f t="shared" si="1"/>
        <v>0</v>
      </c>
      <c r="N25" s="13">
        <f>2500+900</f>
        <v>3400</v>
      </c>
      <c r="O25" s="13">
        <f t="shared" si="2"/>
        <v>32916.129032258061</v>
      </c>
      <c r="P25" s="13">
        <v>1800</v>
      </c>
      <c r="Q25" s="13">
        <v>0</v>
      </c>
      <c r="R25" s="13">
        <f t="shared" si="3"/>
        <v>10000</v>
      </c>
      <c r="S25" s="13">
        <f t="shared" si="4"/>
        <v>21116</v>
      </c>
      <c r="T25" s="14"/>
      <c r="U25">
        <v>7000</v>
      </c>
      <c r="V25">
        <v>3000</v>
      </c>
    </row>
    <row r="26" spans="1:22">
      <c r="A26" s="11">
        <f t="shared" si="5"/>
        <v>22</v>
      </c>
      <c r="B26" s="11">
        <v>10660</v>
      </c>
      <c r="C26" s="11" t="s">
        <v>109</v>
      </c>
      <c r="D26" s="12" t="s">
        <v>36</v>
      </c>
      <c r="E26" s="11" t="s">
        <v>27</v>
      </c>
      <c r="F26" s="11" t="s">
        <v>110</v>
      </c>
      <c r="G26" s="11" t="s">
        <v>38</v>
      </c>
      <c r="H26" s="11" t="s">
        <v>99</v>
      </c>
      <c r="I26" s="11">
        <f>16500+1500+1000+1500+1500+1000+2000+2000+1500</f>
        <v>28500</v>
      </c>
      <c r="J26" s="11">
        <v>17</v>
      </c>
      <c r="K26" s="11"/>
      <c r="L26" s="13">
        <f t="shared" si="0"/>
        <v>15629.032258064517</v>
      </c>
      <c r="M26" s="13">
        <f t="shared" si="1"/>
        <v>0</v>
      </c>
      <c r="N26" s="18">
        <v>900</v>
      </c>
      <c r="O26" s="13">
        <f t="shared" si="2"/>
        <v>16529.032258064515</v>
      </c>
      <c r="P26" s="13">
        <v>1273</v>
      </c>
      <c r="Q26" s="13">
        <v>0</v>
      </c>
      <c r="R26" s="13">
        <f t="shared" si="3"/>
        <v>3000</v>
      </c>
      <c r="S26" s="13">
        <f t="shared" si="4"/>
        <v>12256</v>
      </c>
      <c r="T26" s="14"/>
      <c r="U26">
        <v>3000</v>
      </c>
      <c r="V26" s="19">
        <f>15000-15000</f>
        <v>0</v>
      </c>
    </row>
    <row r="27" spans="1:22">
      <c r="A27" s="11">
        <f t="shared" si="5"/>
        <v>23</v>
      </c>
      <c r="B27" s="11">
        <v>10865</v>
      </c>
      <c r="C27" s="11" t="s">
        <v>111</v>
      </c>
      <c r="D27" s="12" t="s">
        <v>66</v>
      </c>
      <c r="E27" s="11" t="s">
        <v>27</v>
      </c>
      <c r="F27" s="11" t="s">
        <v>112</v>
      </c>
      <c r="G27" s="11" t="s">
        <v>68</v>
      </c>
      <c r="H27" s="11" t="s">
        <v>113</v>
      </c>
      <c r="I27" s="11">
        <f>17000+1000+2000+2000+1500+300+2000+2000+2000</f>
        <v>29800</v>
      </c>
      <c r="J27" s="11">
        <v>31</v>
      </c>
      <c r="K27" s="11"/>
      <c r="L27" s="13">
        <f t="shared" si="0"/>
        <v>29800</v>
      </c>
      <c r="M27" s="13">
        <f t="shared" si="1"/>
        <v>0</v>
      </c>
      <c r="N27" s="13">
        <f>+J27*50*2</f>
        <v>3100</v>
      </c>
      <c r="O27" s="13">
        <f t="shared" si="2"/>
        <v>32900</v>
      </c>
      <c r="P27" s="13">
        <v>1800</v>
      </c>
      <c r="Q27" s="13">
        <v>0</v>
      </c>
      <c r="R27" s="13">
        <f t="shared" si="3"/>
        <v>15000</v>
      </c>
      <c r="S27" s="13">
        <f t="shared" si="4"/>
        <v>16100</v>
      </c>
      <c r="T27" s="14"/>
      <c r="U27">
        <v>5000</v>
      </c>
      <c r="V27">
        <v>10000</v>
      </c>
    </row>
    <row r="28" spans="1:22">
      <c r="A28" s="11">
        <f t="shared" si="5"/>
        <v>24</v>
      </c>
      <c r="B28" s="11">
        <v>10990</v>
      </c>
      <c r="C28" s="11" t="s">
        <v>114</v>
      </c>
      <c r="D28" s="12" t="s">
        <v>66</v>
      </c>
      <c r="E28" s="11" t="s">
        <v>27</v>
      </c>
      <c r="F28" s="11" t="s">
        <v>115</v>
      </c>
      <c r="G28" s="11" t="s">
        <v>68</v>
      </c>
      <c r="H28" s="11" t="s">
        <v>116</v>
      </c>
      <c r="I28" s="11">
        <f>36000+2000+2500+2500+2500+2500+2500</f>
        <v>50500</v>
      </c>
      <c r="J28" s="11">
        <v>31</v>
      </c>
      <c r="K28" s="11">
        <v>0</v>
      </c>
      <c r="L28" s="13">
        <f t="shared" si="0"/>
        <v>50500</v>
      </c>
      <c r="M28" s="13">
        <f t="shared" si="1"/>
        <v>0</v>
      </c>
      <c r="N28" s="13">
        <v>0</v>
      </c>
      <c r="O28" s="13">
        <f t="shared" si="2"/>
        <v>50500</v>
      </c>
      <c r="P28" s="13">
        <v>1800</v>
      </c>
      <c r="Q28" s="13">
        <v>0</v>
      </c>
      <c r="R28" s="13">
        <f t="shared" si="3"/>
        <v>6500</v>
      </c>
      <c r="S28" s="13">
        <f t="shared" si="4"/>
        <v>42200</v>
      </c>
      <c r="T28" s="12"/>
      <c r="U28">
        <v>6500</v>
      </c>
      <c r="V28"/>
    </row>
    <row r="29" spans="1:22">
      <c r="A29" s="11">
        <f t="shared" si="5"/>
        <v>25</v>
      </c>
      <c r="B29" s="11">
        <v>11145</v>
      </c>
      <c r="C29" s="11" t="s">
        <v>117</v>
      </c>
      <c r="D29" s="12" t="s">
        <v>41</v>
      </c>
      <c r="E29" s="11" t="s">
        <v>101</v>
      </c>
      <c r="F29" s="11" t="s">
        <v>118</v>
      </c>
      <c r="G29" s="11" t="s">
        <v>119</v>
      </c>
      <c r="H29" s="12" t="s">
        <v>64</v>
      </c>
      <c r="I29" s="11">
        <f>15000+1000+1500+1500+1500+1500+250+1750+1000</f>
        <v>25000</v>
      </c>
      <c r="J29" s="11">
        <v>28</v>
      </c>
      <c r="K29" s="11"/>
      <c r="L29" s="13">
        <f t="shared" si="0"/>
        <v>22580.645161290326</v>
      </c>
      <c r="M29" s="13">
        <f t="shared" si="1"/>
        <v>0</v>
      </c>
      <c r="N29" s="13">
        <f>+J29*50*2</f>
        <v>2800</v>
      </c>
      <c r="O29" s="13">
        <f t="shared" si="2"/>
        <v>25380.645161290326</v>
      </c>
      <c r="P29" s="13">
        <v>1396</v>
      </c>
      <c r="Q29" s="13">
        <v>0</v>
      </c>
      <c r="R29" s="13">
        <f t="shared" si="3"/>
        <v>15500</v>
      </c>
      <c r="S29" s="13">
        <f t="shared" si="4"/>
        <v>8485</v>
      </c>
      <c r="T29" s="12"/>
      <c r="U29">
        <v>7500</v>
      </c>
      <c r="V29">
        <v>8000</v>
      </c>
    </row>
    <row r="30" spans="1:22">
      <c r="A30" s="11">
        <f t="shared" si="5"/>
        <v>26</v>
      </c>
      <c r="B30" s="11">
        <v>10540</v>
      </c>
      <c r="C30" s="11" t="s">
        <v>120</v>
      </c>
      <c r="D30" s="12" t="s">
        <v>41</v>
      </c>
      <c r="E30" s="11" t="s">
        <v>27</v>
      </c>
      <c r="F30" s="11" t="s">
        <v>121</v>
      </c>
      <c r="G30" s="11" t="s">
        <v>54</v>
      </c>
      <c r="H30" s="12" t="s">
        <v>122</v>
      </c>
      <c r="I30" s="11">
        <v>7000</v>
      </c>
      <c r="J30" s="16">
        <v>31</v>
      </c>
      <c r="K30" s="11"/>
      <c r="L30" s="13">
        <f t="shared" si="0"/>
        <v>7000</v>
      </c>
      <c r="M30" s="13">
        <f t="shared" si="1"/>
        <v>0</v>
      </c>
      <c r="N30" s="13">
        <v>0</v>
      </c>
      <c r="O30" s="13">
        <f t="shared" si="2"/>
        <v>7000</v>
      </c>
      <c r="P30" s="13">
        <v>0</v>
      </c>
      <c r="Q30" s="13">
        <v>0</v>
      </c>
      <c r="R30" s="13">
        <f t="shared" si="3"/>
        <v>0</v>
      </c>
      <c r="S30" s="13">
        <f t="shared" si="4"/>
        <v>7000</v>
      </c>
      <c r="T30" s="12"/>
      <c r="U30">
        <v>0</v>
      </c>
      <c r="V30"/>
    </row>
    <row r="31" spans="1:22" s="2" customFormat="1">
      <c r="A31" s="11">
        <f t="shared" si="5"/>
        <v>27</v>
      </c>
      <c r="B31" s="11">
        <v>11336</v>
      </c>
      <c r="C31" s="11" t="s">
        <v>123</v>
      </c>
      <c r="D31" s="12" t="s">
        <v>41</v>
      </c>
      <c r="E31" s="11" t="s">
        <v>124</v>
      </c>
      <c r="F31" s="11" t="s">
        <v>125</v>
      </c>
      <c r="G31" s="11" t="s">
        <v>126</v>
      </c>
      <c r="H31" s="21" t="s">
        <v>127</v>
      </c>
      <c r="I31" s="11">
        <f>17000+1500+2000+2500+2500</f>
        <v>25500</v>
      </c>
      <c r="J31" s="11">
        <v>29</v>
      </c>
      <c r="K31" s="11"/>
      <c r="L31" s="13">
        <f t="shared" si="0"/>
        <v>23854.83870967742</v>
      </c>
      <c r="M31" s="13">
        <f t="shared" si="1"/>
        <v>0</v>
      </c>
      <c r="N31" s="13">
        <f>+J31*50*1+3000</f>
        <v>4450</v>
      </c>
      <c r="O31" s="13">
        <f t="shared" si="2"/>
        <v>28304.83870967742</v>
      </c>
      <c r="P31" s="13">
        <v>1536</v>
      </c>
      <c r="Q31" s="13">
        <v>0</v>
      </c>
      <c r="R31" s="13">
        <f t="shared" si="3"/>
        <v>12000</v>
      </c>
      <c r="S31" s="13">
        <f t="shared" si="4"/>
        <v>14769</v>
      </c>
      <c r="T31" s="12"/>
      <c r="U31" s="2">
        <v>12000</v>
      </c>
    </row>
    <row r="32" spans="1:22" s="2" customFormat="1">
      <c r="A32" s="11">
        <f>+A31+1</f>
        <v>28</v>
      </c>
      <c r="B32" s="11">
        <v>11680</v>
      </c>
      <c r="C32" s="11" t="s">
        <v>284</v>
      </c>
      <c r="D32" s="26" t="s">
        <v>71</v>
      </c>
      <c r="E32" s="12" t="s">
        <v>27</v>
      </c>
      <c r="F32" s="25" t="s">
        <v>285</v>
      </c>
      <c r="G32" s="12" t="s">
        <v>73</v>
      </c>
      <c r="H32" s="12" t="s">
        <v>286</v>
      </c>
      <c r="I32" s="11">
        <v>9500</v>
      </c>
      <c r="J32" s="11">
        <v>29</v>
      </c>
      <c r="K32" s="11">
        <v>0</v>
      </c>
      <c r="L32" s="13">
        <f>I32/31*J32</f>
        <v>8887.0967741935474</v>
      </c>
      <c r="M32" s="13">
        <f>ROUND(I32/31/12*1*K32,0)</f>
        <v>0</v>
      </c>
      <c r="N32" s="13">
        <v>0</v>
      </c>
      <c r="O32" s="13">
        <f>SUM(L32:N32)</f>
        <v>8887.0967741935474</v>
      </c>
      <c r="P32" s="13">
        <v>0</v>
      </c>
      <c r="Q32" s="13">
        <v>0</v>
      </c>
      <c r="R32" s="13">
        <f>U32+V32-W32</f>
        <v>0</v>
      </c>
      <c r="S32" s="13">
        <f>ROUND(O32-P32-Q32-R32,)</f>
        <v>8887</v>
      </c>
      <c r="T32" s="14"/>
      <c r="U32" s="2">
        <v>0</v>
      </c>
    </row>
    <row r="33" spans="1:23" s="2" customFormat="1">
      <c r="A33" s="11">
        <f t="shared" ref="A33:A96" si="6">+A32+1</f>
        <v>29</v>
      </c>
      <c r="B33" s="11">
        <v>10430</v>
      </c>
      <c r="C33" s="11" t="s">
        <v>128</v>
      </c>
      <c r="D33" s="12" t="s">
        <v>36</v>
      </c>
      <c r="E33" s="11" t="s">
        <v>27</v>
      </c>
      <c r="F33" s="11" t="s">
        <v>129</v>
      </c>
      <c r="G33" s="11" t="s">
        <v>38</v>
      </c>
      <c r="H33" s="11" t="s">
        <v>130</v>
      </c>
      <c r="I33" s="11">
        <f>18000+1500+1500+1500+1500+2000+2000</f>
        <v>28000</v>
      </c>
      <c r="J33" s="11">
        <v>30.5</v>
      </c>
      <c r="K33" s="11">
        <v>0</v>
      </c>
      <c r="L33" s="13">
        <f>I33/31*J33</f>
        <v>27548.387096774193</v>
      </c>
      <c r="M33" s="13">
        <f>ROUND(I33/31/12*1*K33,0)</f>
        <v>0</v>
      </c>
      <c r="N33" s="13">
        <v>0</v>
      </c>
      <c r="O33" s="13">
        <f>SUM(L33:N33)</f>
        <v>27548.387096774193</v>
      </c>
      <c r="P33" s="13">
        <v>0</v>
      </c>
      <c r="Q33" s="13">
        <v>0</v>
      </c>
      <c r="R33" s="13">
        <f>U33+V33-W33</f>
        <v>22500</v>
      </c>
      <c r="S33" s="13">
        <f>ROUND(O33-P33-Q33-R33,)</f>
        <v>5048</v>
      </c>
      <c r="T33" s="12"/>
      <c r="U33" s="2">
        <v>6500</v>
      </c>
      <c r="V33" s="2">
        <f>6000+10000</f>
        <v>16000</v>
      </c>
    </row>
    <row r="34" spans="1:23" s="2" customFormat="1">
      <c r="A34" s="11">
        <f t="shared" si="6"/>
        <v>30</v>
      </c>
      <c r="B34" s="11">
        <v>10586</v>
      </c>
      <c r="C34" s="11" t="s">
        <v>131</v>
      </c>
      <c r="D34" s="12" t="s">
        <v>41</v>
      </c>
      <c r="E34" s="11" t="s">
        <v>132</v>
      </c>
      <c r="F34" s="11" t="s">
        <v>133</v>
      </c>
      <c r="G34" s="11" t="s">
        <v>134</v>
      </c>
      <c r="H34" s="11" t="s">
        <v>130</v>
      </c>
      <c r="I34" s="11">
        <f>17500+2500+1500+1500+2000+2000</f>
        <v>27000</v>
      </c>
      <c r="J34" s="11">
        <v>3</v>
      </c>
      <c r="K34" s="11">
        <v>0</v>
      </c>
      <c r="L34" s="13">
        <f>I34/31*J34</f>
        <v>2612.9032258064517</v>
      </c>
      <c r="M34" s="13">
        <f>ROUND(I34/31/12*1*K34,0)</f>
        <v>0</v>
      </c>
      <c r="N34" s="13">
        <v>1500</v>
      </c>
      <c r="O34" s="13">
        <f>SUM(L34:N34)</f>
        <v>4112.9032258064517</v>
      </c>
      <c r="P34" s="13">
        <v>0</v>
      </c>
      <c r="Q34" s="13">
        <v>0</v>
      </c>
      <c r="R34" s="13">
        <f>U34+V34-W34</f>
        <v>1000</v>
      </c>
      <c r="S34" s="13">
        <f>ROUND(O34-P34-Q34-R34,)</f>
        <v>3113</v>
      </c>
      <c r="T34" s="12"/>
      <c r="U34" s="2">
        <v>1000</v>
      </c>
    </row>
    <row r="35" spans="1:23" s="2" customFormat="1">
      <c r="A35" s="11">
        <f t="shared" si="6"/>
        <v>31</v>
      </c>
      <c r="B35" s="11">
        <v>10758</v>
      </c>
      <c r="C35" s="11" t="s">
        <v>135</v>
      </c>
      <c r="D35" s="12" t="s">
        <v>41</v>
      </c>
      <c r="E35" s="11" t="s">
        <v>136</v>
      </c>
      <c r="F35" s="11" t="s">
        <v>137</v>
      </c>
      <c r="G35" s="11" t="s">
        <v>138</v>
      </c>
      <c r="H35" s="12" t="s">
        <v>130</v>
      </c>
      <c r="I35" s="11">
        <f>18000+1500+1500+1500+1500+2000+2000</f>
        <v>28000</v>
      </c>
      <c r="J35" s="11">
        <v>31</v>
      </c>
      <c r="K35" s="11">
        <v>0</v>
      </c>
      <c r="L35" s="13">
        <f>I35/31*J35</f>
        <v>28000</v>
      </c>
      <c r="M35" s="13">
        <f>ROUND(I35/31/12*1*K35,0)</f>
        <v>0</v>
      </c>
      <c r="N35" s="22">
        <f>1500+600</f>
        <v>2100</v>
      </c>
      <c r="O35" s="13">
        <f>SUM(L35:N35)</f>
        <v>30100</v>
      </c>
      <c r="P35" s="13">
        <v>0</v>
      </c>
      <c r="Q35" s="13">
        <v>0</v>
      </c>
      <c r="R35" s="13">
        <f>U35+V35-W35</f>
        <v>10000</v>
      </c>
      <c r="S35" s="13">
        <f>ROUND(O35-P35-Q35-R35,)</f>
        <v>20100</v>
      </c>
      <c r="T35" s="12"/>
      <c r="U35" s="2">
        <v>5000</v>
      </c>
      <c r="V35" s="2">
        <f>30000+5000-30000</f>
        <v>5000</v>
      </c>
    </row>
    <row r="36" spans="1:23" s="2" customFormat="1">
      <c r="A36" s="11">
        <f t="shared" si="6"/>
        <v>32</v>
      </c>
      <c r="B36" s="11">
        <v>10950</v>
      </c>
      <c r="C36" s="11" t="s">
        <v>139</v>
      </c>
      <c r="D36" s="12" t="s">
        <v>66</v>
      </c>
      <c r="E36" s="11" t="s">
        <v>140</v>
      </c>
      <c r="F36" s="11" t="s">
        <v>141</v>
      </c>
      <c r="G36" s="11" t="s">
        <v>142</v>
      </c>
      <c r="H36" s="11" t="s">
        <v>130</v>
      </c>
      <c r="I36" s="11">
        <f>21000+1000+1500+1500+1500+2000+2000</f>
        <v>30500</v>
      </c>
      <c r="J36" s="16">
        <v>30</v>
      </c>
      <c r="K36" s="16">
        <v>0</v>
      </c>
      <c r="L36" s="13">
        <f>I36/31*J36</f>
        <v>29516.129032258064</v>
      </c>
      <c r="M36" s="13">
        <f>ROUND(I36/31/12*1*K36,0)</f>
        <v>0</v>
      </c>
      <c r="N36" s="13">
        <v>1500</v>
      </c>
      <c r="O36" s="13">
        <f>SUM(L36:N36)</f>
        <v>31016.129032258064</v>
      </c>
      <c r="P36" s="13">
        <v>0</v>
      </c>
      <c r="Q36" s="13">
        <v>0</v>
      </c>
      <c r="R36" s="13">
        <f>U36+V36-W36</f>
        <v>7500</v>
      </c>
      <c r="S36" s="13">
        <f>ROUND(O36-P36-Q36-R36,)</f>
        <v>23516</v>
      </c>
      <c r="T36" s="12"/>
      <c r="U36" s="2">
        <v>7500</v>
      </c>
    </row>
    <row r="37" spans="1:23" s="2" customFormat="1">
      <c r="A37" s="11">
        <f t="shared" si="6"/>
        <v>33</v>
      </c>
      <c r="B37" s="11">
        <v>11550</v>
      </c>
      <c r="C37" s="11" t="s">
        <v>143</v>
      </c>
      <c r="D37" s="11" t="s">
        <v>41</v>
      </c>
      <c r="E37" s="11" t="s">
        <v>144</v>
      </c>
      <c r="F37" s="11" t="s">
        <v>145</v>
      </c>
      <c r="G37" s="11" t="s">
        <v>146</v>
      </c>
      <c r="H37" s="12" t="s">
        <v>130</v>
      </c>
      <c r="I37" s="11">
        <f>19000+2000+1500</f>
        <v>22500</v>
      </c>
      <c r="J37" s="11">
        <v>18</v>
      </c>
      <c r="K37" s="11">
        <v>0</v>
      </c>
      <c r="L37" s="13">
        <f>I37/31*J37</f>
        <v>13064.516129032258</v>
      </c>
      <c r="M37" s="13">
        <f>ROUND(I37/31/12*1*K37,0)</f>
        <v>0</v>
      </c>
      <c r="N37" s="13">
        <v>2000</v>
      </c>
      <c r="O37" s="13">
        <f>SUM(L37:N37)</f>
        <v>15064.516129032258</v>
      </c>
      <c r="P37" s="13">
        <v>0</v>
      </c>
      <c r="Q37" s="13">
        <v>0</v>
      </c>
      <c r="R37" s="13">
        <f>U37+V37-W37</f>
        <v>3000</v>
      </c>
      <c r="S37" s="13">
        <f>ROUND(O37-P37-Q37-R37,)</f>
        <v>12065</v>
      </c>
      <c r="T37" s="14"/>
      <c r="U37" s="2">
        <v>3000</v>
      </c>
    </row>
    <row r="38" spans="1:23" s="2" customFormat="1">
      <c r="A38" s="11">
        <f t="shared" si="6"/>
        <v>34</v>
      </c>
      <c r="B38" s="11">
        <v>11719</v>
      </c>
      <c r="C38" s="11" t="s">
        <v>296</v>
      </c>
      <c r="D38" s="26"/>
      <c r="E38" s="12" t="s">
        <v>136</v>
      </c>
      <c r="F38" s="25" t="s">
        <v>297</v>
      </c>
      <c r="G38" s="12" t="s">
        <v>298</v>
      </c>
      <c r="H38" s="12" t="s">
        <v>130</v>
      </c>
      <c r="I38" s="11">
        <f>25000+2000+1000</f>
        <v>28000</v>
      </c>
      <c r="J38" s="11">
        <v>31</v>
      </c>
      <c r="K38" s="11">
        <v>0</v>
      </c>
      <c r="L38" s="13">
        <f>I38/31*J38</f>
        <v>28000</v>
      </c>
      <c r="M38" s="13">
        <f>ROUND(I38/31/12*1*K38,0)</f>
        <v>0</v>
      </c>
      <c r="N38" s="13">
        <v>0</v>
      </c>
      <c r="O38" s="13">
        <f>SUM(L38:N38)</f>
        <v>28000</v>
      </c>
      <c r="P38" s="13">
        <v>0</v>
      </c>
      <c r="Q38" s="13">
        <v>0</v>
      </c>
      <c r="R38" s="13">
        <f>U38+V38-W38</f>
        <v>6000</v>
      </c>
      <c r="S38" s="13">
        <f>ROUND(O38-P38-Q38-R38,)</f>
        <v>22000</v>
      </c>
      <c r="T38" s="14"/>
      <c r="U38" s="2">
        <v>6000</v>
      </c>
    </row>
    <row r="39" spans="1:23" s="2" customFormat="1">
      <c r="A39" s="11">
        <f t="shared" si="6"/>
        <v>35</v>
      </c>
      <c r="B39" s="11">
        <v>11820</v>
      </c>
      <c r="C39" s="12" t="s">
        <v>305</v>
      </c>
      <c r="D39" s="11"/>
      <c r="E39" s="11"/>
      <c r="F39" s="11"/>
      <c r="G39" s="11"/>
      <c r="H39" s="12" t="s">
        <v>130</v>
      </c>
      <c r="I39" s="14">
        <v>28000</v>
      </c>
      <c r="J39" s="11">
        <v>29</v>
      </c>
      <c r="K39" s="11">
        <v>0</v>
      </c>
      <c r="L39" s="13">
        <f>I39/31*J39</f>
        <v>26193.548387096776</v>
      </c>
      <c r="M39" s="13">
        <f>ROUND(I39/31/12*1*K39,0)</f>
        <v>0</v>
      </c>
      <c r="N39" s="13">
        <v>0</v>
      </c>
      <c r="O39" s="30">
        <f>SUM(L39:N39)</f>
        <v>26193.548387096776</v>
      </c>
      <c r="P39" s="13">
        <v>0</v>
      </c>
      <c r="Q39" s="13">
        <v>0</v>
      </c>
      <c r="R39" s="13">
        <f>U39+V39-W39</f>
        <v>15000</v>
      </c>
      <c r="S39" s="13">
        <f>ROUND(O39-P39-Q39-R39,)</f>
        <v>11194</v>
      </c>
      <c r="T39" s="14"/>
      <c r="U39" s="2">
        <v>10000</v>
      </c>
      <c r="V39" s="2">
        <v>5000</v>
      </c>
    </row>
    <row r="40" spans="1:23" s="2" customFormat="1">
      <c r="A40" s="11">
        <f t="shared" si="6"/>
        <v>36</v>
      </c>
      <c r="B40" s="11"/>
      <c r="C40" s="12" t="s">
        <v>314</v>
      </c>
      <c r="D40" s="11"/>
      <c r="E40" s="11"/>
      <c r="F40" s="11"/>
      <c r="G40" s="11"/>
      <c r="H40" s="12" t="s">
        <v>130</v>
      </c>
      <c r="I40" s="14">
        <v>30000</v>
      </c>
      <c r="J40" s="11">
        <v>6</v>
      </c>
      <c r="K40" s="11">
        <v>0</v>
      </c>
      <c r="L40" s="13">
        <f>I40/31*J40</f>
        <v>5806.4516129032254</v>
      </c>
      <c r="M40" s="13">
        <f>ROUND(I40/31/12*1*K40,0)</f>
        <v>0</v>
      </c>
      <c r="N40" s="13">
        <v>0</v>
      </c>
      <c r="O40" s="13">
        <f>SUM(L40:N40)</f>
        <v>5806.4516129032254</v>
      </c>
      <c r="P40" s="13">
        <v>0</v>
      </c>
      <c r="Q40" s="13">
        <v>0</v>
      </c>
      <c r="R40" s="13">
        <f>U40+V40-W40</f>
        <v>2000</v>
      </c>
      <c r="S40" s="13">
        <f>ROUND(O40-P40-Q40-R40,)</f>
        <v>3806</v>
      </c>
      <c r="T40" s="14"/>
      <c r="U40" s="2">
        <v>2000</v>
      </c>
    </row>
    <row r="41" spans="1:23" s="2" customFormat="1">
      <c r="A41" s="11">
        <f t="shared" si="6"/>
        <v>37</v>
      </c>
      <c r="B41" s="11">
        <v>11818</v>
      </c>
      <c r="C41" s="11" t="s">
        <v>306</v>
      </c>
      <c r="D41" s="11"/>
      <c r="E41" s="11"/>
      <c r="F41" s="11"/>
      <c r="G41" s="11"/>
      <c r="H41" s="11" t="s">
        <v>80</v>
      </c>
      <c r="I41" s="14">
        <f>37000+8000</f>
        <v>45000</v>
      </c>
      <c r="J41" s="11">
        <v>30</v>
      </c>
      <c r="K41" s="11"/>
      <c r="L41" s="13">
        <f>I41/31*J41</f>
        <v>43548.38709677419</v>
      </c>
      <c r="M41" s="13">
        <f>ROUND(I41/31/12*1*K41,0)</f>
        <v>0</v>
      </c>
      <c r="N41" s="13">
        <v>0</v>
      </c>
      <c r="O41" s="13">
        <f>SUM(L41:N41)</f>
        <v>43548.38709677419</v>
      </c>
      <c r="P41" s="13">
        <v>1800</v>
      </c>
      <c r="Q41" s="13">
        <v>0</v>
      </c>
      <c r="R41" s="13">
        <f>U41+V41-W41</f>
        <v>13000</v>
      </c>
      <c r="S41" s="13">
        <f>ROUND(O41-P41-Q41-R41,)</f>
        <v>28748</v>
      </c>
      <c r="T41" s="14"/>
      <c r="U41" s="2">
        <v>13000</v>
      </c>
    </row>
    <row r="42" spans="1:23" s="2" customFormat="1">
      <c r="A42" s="11">
        <f t="shared" si="6"/>
        <v>38</v>
      </c>
      <c r="B42" s="11">
        <v>16</v>
      </c>
      <c r="C42" s="11" t="s">
        <v>147</v>
      </c>
      <c r="D42" s="12" t="s">
        <v>71</v>
      </c>
      <c r="E42" s="11" t="s">
        <v>27</v>
      </c>
      <c r="F42" s="11" t="s">
        <v>148</v>
      </c>
      <c r="G42" s="11" t="s">
        <v>73</v>
      </c>
      <c r="H42" s="11" t="s">
        <v>149</v>
      </c>
      <c r="I42" s="11">
        <f>310+20+30+20+30+50+40</f>
        <v>500</v>
      </c>
      <c r="J42" s="11">
        <v>16</v>
      </c>
      <c r="K42" s="11">
        <v>50</v>
      </c>
      <c r="L42" s="13">
        <f>I42*J42</f>
        <v>8000</v>
      </c>
      <c r="M42" s="13">
        <f>I42/8*2*K42</f>
        <v>6250</v>
      </c>
      <c r="N42" s="13">
        <v>600</v>
      </c>
      <c r="O42" s="13">
        <f>SUM(L42:N42)</f>
        <v>14850</v>
      </c>
      <c r="P42" s="13">
        <v>1123</v>
      </c>
      <c r="Q42" s="23">
        <v>0</v>
      </c>
      <c r="R42" s="13">
        <f>U42+V42-W42</f>
        <v>5000</v>
      </c>
      <c r="S42" s="13">
        <f>ROUND(O42-P42-Q42-R42,)</f>
        <v>8727</v>
      </c>
      <c r="T42" s="14"/>
      <c r="U42" s="2">
        <v>5000</v>
      </c>
    </row>
    <row r="43" spans="1:23" s="2" customFormat="1">
      <c r="A43" s="11">
        <f t="shared" si="6"/>
        <v>39</v>
      </c>
      <c r="B43" s="11">
        <v>10488</v>
      </c>
      <c r="C43" s="11" t="s">
        <v>150</v>
      </c>
      <c r="D43" s="12" t="s">
        <v>41</v>
      </c>
      <c r="E43" s="11" t="s">
        <v>151</v>
      </c>
      <c r="F43" s="11" t="s">
        <v>152</v>
      </c>
      <c r="G43" s="11" t="s">
        <v>153</v>
      </c>
      <c r="H43" s="11" t="s">
        <v>149</v>
      </c>
      <c r="I43" s="11">
        <f>310+20+30+20+20+20+20</f>
        <v>440</v>
      </c>
      <c r="J43" s="11">
        <v>9</v>
      </c>
      <c r="K43" s="11">
        <v>18</v>
      </c>
      <c r="L43" s="13">
        <f>I43*J43</f>
        <v>3960</v>
      </c>
      <c r="M43" s="13">
        <f>I43/8*2*K43</f>
        <v>1980</v>
      </c>
      <c r="N43" s="13">
        <v>0</v>
      </c>
      <c r="O43" s="13">
        <f>SUM(L43:N43)</f>
        <v>5940</v>
      </c>
      <c r="P43" s="13">
        <v>0</v>
      </c>
      <c r="Q43" s="13">
        <v>0</v>
      </c>
      <c r="R43" s="13">
        <f>U43+V43-W43</f>
        <v>0</v>
      </c>
      <c r="S43" s="13">
        <f>ROUND(O43-P43-Q43-R43,)</f>
        <v>5940</v>
      </c>
      <c r="T43" s="14"/>
      <c r="U43" s="2">
        <v>0</v>
      </c>
    </row>
    <row r="44" spans="1:23" s="2" customFormat="1">
      <c r="A44" s="11">
        <f t="shared" si="6"/>
        <v>40</v>
      </c>
      <c r="B44" s="11">
        <v>11618</v>
      </c>
      <c r="C44" s="11" t="s">
        <v>174</v>
      </c>
      <c r="D44" s="12" t="s">
        <v>41</v>
      </c>
      <c r="E44" s="12" t="s">
        <v>175</v>
      </c>
      <c r="F44" s="25" t="s">
        <v>176</v>
      </c>
      <c r="G44" s="12" t="s">
        <v>177</v>
      </c>
      <c r="H44" s="12" t="s">
        <v>149</v>
      </c>
      <c r="I44" s="11">
        <f>16000+2000+1000</f>
        <v>19000</v>
      </c>
      <c r="J44" s="11">
        <v>31</v>
      </c>
      <c r="K44" s="11">
        <v>0</v>
      </c>
      <c r="L44" s="13">
        <f>I44/31*J44</f>
        <v>19000</v>
      </c>
      <c r="M44" s="13">
        <f>ROUND(I44/31/12*1*K44,0)</f>
        <v>0</v>
      </c>
      <c r="N44" s="13">
        <v>0</v>
      </c>
      <c r="O44" s="13">
        <f>SUM(L44:N44)</f>
        <v>19000</v>
      </c>
      <c r="P44" s="13">
        <v>0</v>
      </c>
      <c r="Q44" s="13">
        <v>0</v>
      </c>
      <c r="R44" s="13">
        <f>U44+V44-W44</f>
        <v>7000</v>
      </c>
      <c r="S44" s="13">
        <f>ROUND(O44-P44-Q44-R44,)</f>
        <v>12000</v>
      </c>
      <c r="T44" s="14"/>
      <c r="U44" s="2">
        <v>5000</v>
      </c>
      <c r="V44" s="2">
        <v>2000</v>
      </c>
    </row>
    <row r="45" spans="1:23" s="2" customFormat="1">
      <c r="A45" s="11">
        <f t="shared" si="6"/>
        <v>41</v>
      </c>
      <c r="B45" s="11">
        <v>10542</v>
      </c>
      <c r="C45" s="11" t="s">
        <v>154</v>
      </c>
      <c r="D45" s="12" t="s">
        <v>41</v>
      </c>
      <c r="E45" s="11" t="s">
        <v>155</v>
      </c>
      <c r="F45" s="11" t="s">
        <v>156</v>
      </c>
      <c r="G45" s="11" t="s">
        <v>157</v>
      </c>
      <c r="H45" s="11" t="s">
        <v>158</v>
      </c>
      <c r="I45" s="11">
        <f>16800+1700+1500+1000+1000+500+500</f>
        <v>23000</v>
      </c>
      <c r="J45" s="11">
        <v>25</v>
      </c>
      <c r="K45" s="11">
        <v>0</v>
      </c>
      <c r="L45" s="13">
        <f>I45/31*J45</f>
        <v>18548.387096774193</v>
      </c>
      <c r="M45" s="13">
        <f>ROUND(I45/31/12*1*K45,0)</f>
        <v>0</v>
      </c>
      <c r="N45" s="13">
        <f>+J45*50*2</f>
        <v>2500</v>
      </c>
      <c r="O45" s="13">
        <f>SUM(L45:N45)</f>
        <v>21048.387096774193</v>
      </c>
      <c r="P45" s="13">
        <v>0</v>
      </c>
      <c r="Q45" s="13">
        <v>0</v>
      </c>
      <c r="R45" s="13">
        <f>U45+V45-W45</f>
        <v>9500</v>
      </c>
      <c r="S45" s="13">
        <f>ROUND(O45-P45-Q45-R45,)</f>
        <v>11548</v>
      </c>
      <c r="T45" s="14"/>
      <c r="U45" s="2">
        <v>8500</v>
      </c>
      <c r="V45" s="19">
        <v>1000</v>
      </c>
    </row>
    <row r="46" spans="1:23" s="2" customFormat="1">
      <c r="A46" s="11">
        <f t="shared" si="6"/>
        <v>42</v>
      </c>
      <c r="B46" s="11">
        <v>11428</v>
      </c>
      <c r="C46" s="11" t="s">
        <v>159</v>
      </c>
      <c r="D46" s="12" t="s">
        <v>41</v>
      </c>
      <c r="E46" s="11" t="s">
        <v>160</v>
      </c>
      <c r="F46" s="11" t="s">
        <v>161</v>
      </c>
      <c r="G46" s="11" t="s">
        <v>162</v>
      </c>
      <c r="H46" s="12" t="s">
        <v>158</v>
      </c>
      <c r="I46" s="11">
        <f>18500+1000+1000+1500+1000+1000</f>
        <v>24000</v>
      </c>
      <c r="J46" s="11">
        <v>31</v>
      </c>
      <c r="K46" s="11">
        <v>0</v>
      </c>
      <c r="L46" s="13">
        <f>I46/31*J46</f>
        <v>24000</v>
      </c>
      <c r="M46" s="13">
        <f>ROUND(I46/31/12*1*K46,0)</f>
        <v>0</v>
      </c>
      <c r="N46" s="13">
        <v>0</v>
      </c>
      <c r="O46" s="13">
        <f>SUM(L46:N46)</f>
        <v>24000</v>
      </c>
      <c r="P46" s="13">
        <v>0</v>
      </c>
      <c r="Q46" s="13">
        <v>0</v>
      </c>
      <c r="R46" s="13">
        <f>U46+V46+W46</f>
        <v>17000</v>
      </c>
      <c r="S46" s="13">
        <f>ROUND(O46-P46-Q46-R46,)</f>
        <v>7000</v>
      </c>
      <c r="T46" s="14"/>
      <c r="U46" s="2">
        <v>7000</v>
      </c>
      <c r="V46" s="2">
        <v>5000</v>
      </c>
      <c r="W46" s="19">
        <v>5000</v>
      </c>
    </row>
    <row r="47" spans="1:23" s="2" customFormat="1">
      <c r="A47" s="11">
        <f t="shared" si="6"/>
        <v>43</v>
      </c>
      <c r="B47" s="11"/>
      <c r="C47" s="11" t="s">
        <v>163</v>
      </c>
      <c r="D47" s="12" t="s">
        <v>36</v>
      </c>
      <c r="E47" s="11" t="s">
        <v>27</v>
      </c>
      <c r="F47" s="11" t="s">
        <v>164</v>
      </c>
      <c r="G47" s="11" t="s">
        <v>38</v>
      </c>
      <c r="H47" s="11" t="s">
        <v>104</v>
      </c>
      <c r="I47" s="11">
        <f>4500+500+500+500</f>
        <v>6000</v>
      </c>
      <c r="J47" s="16">
        <v>31</v>
      </c>
      <c r="K47" s="11">
        <v>0</v>
      </c>
      <c r="L47" s="13">
        <f>I47/31*J47</f>
        <v>6000</v>
      </c>
      <c r="M47" s="13">
        <f>ROUND(I47/31/12*1*K47,0)</f>
        <v>0</v>
      </c>
      <c r="N47" s="13">
        <v>0</v>
      </c>
      <c r="O47" s="13">
        <f>SUM(L47:N47)</f>
        <v>6000</v>
      </c>
      <c r="P47" s="13">
        <v>0</v>
      </c>
      <c r="Q47" s="13">
        <v>0</v>
      </c>
      <c r="R47" s="13">
        <f>U47+V47-W47</f>
        <v>0</v>
      </c>
      <c r="S47" s="13">
        <f>ROUND(O47-P47-Q47-R47,)</f>
        <v>6000</v>
      </c>
      <c r="T47" s="14"/>
      <c r="U47" s="2">
        <v>0</v>
      </c>
    </row>
    <row r="48" spans="1:23" s="2" customFormat="1">
      <c r="A48" s="11">
        <f t="shared" si="6"/>
        <v>44</v>
      </c>
      <c r="B48" s="11">
        <v>11571</v>
      </c>
      <c r="C48" s="11" t="s">
        <v>165</v>
      </c>
      <c r="D48" s="14"/>
      <c r="E48" s="11" t="s">
        <v>124</v>
      </c>
      <c r="F48" s="11" t="s">
        <v>166</v>
      </c>
      <c r="G48" s="11" t="s">
        <v>167</v>
      </c>
      <c r="H48" s="12" t="s">
        <v>104</v>
      </c>
      <c r="I48" s="11">
        <f>14000+1000+1000+1500+500</f>
        <v>18000</v>
      </c>
      <c r="J48" s="11">
        <v>30</v>
      </c>
      <c r="K48" s="16">
        <v>0</v>
      </c>
      <c r="L48" s="13">
        <f>I48/31*J48</f>
        <v>17419.354838709678</v>
      </c>
      <c r="M48" s="13">
        <f>ROUND(I48/31/12*1*K48,0)</f>
        <v>0</v>
      </c>
      <c r="N48" s="13">
        <v>0</v>
      </c>
      <c r="O48" s="13">
        <f>SUM(L48:N48)</f>
        <v>17419.354838709678</v>
      </c>
      <c r="P48" s="13">
        <v>0</v>
      </c>
      <c r="Q48" s="13">
        <v>0</v>
      </c>
      <c r="R48" s="13">
        <f>U48+V48-W48</f>
        <v>8500</v>
      </c>
      <c r="S48" s="13">
        <f>ROUND(O48-P48-Q48-R48,)</f>
        <v>8919</v>
      </c>
      <c r="T48" s="14"/>
      <c r="U48" s="2">
        <v>3500</v>
      </c>
      <c r="V48" s="19">
        <v>5000</v>
      </c>
    </row>
    <row r="49" spans="1:22" s="2" customFormat="1">
      <c r="A49" s="11">
        <f t="shared" si="6"/>
        <v>45</v>
      </c>
      <c r="B49" s="11">
        <v>11048</v>
      </c>
      <c r="C49" s="11" t="s">
        <v>290</v>
      </c>
      <c r="D49" s="26"/>
      <c r="E49" s="12" t="s">
        <v>27</v>
      </c>
      <c r="F49" s="25" t="s">
        <v>291</v>
      </c>
      <c r="G49" s="12" t="s">
        <v>38</v>
      </c>
      <c r="H49" s="12" t="s">
        <v>104</v>
      </c>
      <c r="I49" s="12">
        <f>16000+1000</f>
        <v>17000</v>
      </c>
      <c r="J49" s="11">
        <v>30</v>
      </c>
      <c r="K49" s="11">
        <v>0</v>
      </c>
      <c r="L49" s="13">
        <f>I49/31*J49</f>
        <v>16451.612903225807</v>
      </c>
      <c r="M49" s="13">
        <f>ROUND(I49/31/12*1*K49,0)</f>
        <v>0</v>
      </c>
      <c r="N49" s="13">
        <v>0</v>
      </c>
      <c r="O49" s="13">
        <f>SUM(L49:N49)</f>
        <v>16451.612903225807</v>
      </c>
      <c r="P49" s="13">
        <v>0</v>
      </c>
      <c r="Q49" s="13">
        <v>0</v>
      </c>
      <c r="R49" s="13">
        <f>U49+V49-W49</f>
        <v>8000</v>
      </c>
      <c r="S49" s="13">
        <f>ROUND(O49-P49-Q49-R49,)</f>
        <v>8452</v>
      </c>
      <c r="T49" s="14"/>
      <c r="U49" s="2">
        <v>6000</v>
      </c>
      <c r="V49" s="2">
        <v>2000</v>
      </c>
    </row>
    <row r="50" spans="1:22" s="2" customFormat="1">
      <c r="A50" s="11">
        <f t="shared" si="6"/>
        <v>46</v>
      </c>
      <c r="B50" s="11"/>
      <c r="C50" s="12" t="s">
        <v>303</v>
      </c>
      <c r="D50" s="11"/>
      <c r="E50" s="11"/>
      <c r="F50" s="11"/>
      <c r="G50" s="11"/>
      <c r="H50" s="12" t="s">
        <v>104</v>
      </c>
      <c r="I50" s="14">
        <v>300</v>
      </c>
      <c r="J50" s="11">
        <v>31</v>
      </c>
      <c r="K50" s="11">
        <v>86</v>
      </c>
      <c r="L50" s="13">
        <f>I50*J50</f>
        <v>9300</v>
      </c>
      <c r="M50" s="13">
        <f>I50/8*2*K50</f>
        <v>6450</v>
      </c>
      <c r="N50" s="13">
        <v>0</v>
      </c>
      <c r="O50" s="30">
        <f>SUM(L50:N50)</f>
        <v>15750</v>
      </c>
      <c r="P50" s="13">
        <v>0</v>
      </c>
      <c r="Q50" s="13">
        <v>0</v>
      </c>
      <c r="R50" s="13">
        <f>U50+V50-W50</f>
        <v>11500</v>
      </c>
      <c r="S50" s="13">
        <f>ROUND(O50-P50-Q50-R50,)</f>
        <v>4250</v>
      </c>
      <c r="T50" s="14"/>
      <c r="U50" s="2">
        <v>8500</v>
      </c>
      <c r="V50" s="19">
        <v>3000</v>
      </c>
    </row>
    <row r="51" spans="1:22" s="2" customFormat="1">
      <c r="A51" s="11">
        <f t="shared" si="6"/>
        <v>47</v>
      </c>
      <c r="B51" s="11">
        <v>11817</v>
      </c>
      <c r="C51" s="12" t="s">
        <v>304</v>
      </c>
      <c r="D51" s="11"/>
      <c r="E51" s="11"/>
      <c r="F51" s="11"/>
      <c r="G51" s="11"/>
      <c r="H51" s="12" t="s">
        <v>104</v>
      </c>
      <c r="I51" s="14">
        <v>300</v>
      </c>
      <c r="J51" s="11">
        <v>31</v>
      </c>
      <c r="K51" s="11">
        <v>74</v>
      </c>
      <c r="L51" s="13">
        <f>I51*J51</f>
        <v>9300</v>
      </c>
      <c r="M51" s="13">
        <f>I51/8*2*K51</f>
        <v>5550</v>
      </c>
      <c r="N51" s="13">
        <v>0</v>
      </c>
      <c r="O51" s="30">
        <f>SUM(L51:N51)</f>
        <v>14850</v>
      </c>
      <c r="P51" s="13">
        <v>0</v>
      </c>
      <c r="Q51" s="13">
        <v>0</v>
      </c>
      <c r="R51" s="13">
        <f>U51+V51-W51</f>
        <v>3500</v>
      </c>
      <c r="S51" s="13">
        <f>ROUND(O51-P51-Q51-R51,)</f>
        <v>11350</v>
      </c>
      <c r="T51" s="14"/>
      <c r="U51" s="2">
        <v>3500</v>
      </c>
    </row>
    <row r="52" spans="1:22" s="2" customFormat="1">
      <c r="A52" s="11">
        <f t="shared" si="6"/>
        <v>48</v>
      </c>
      <c r="B52" s="11">
        <v>11804</v>
      </c>
      <c r="C52" s="11" t="s">
        <v>309</v>
      </c>
      <c r="D52" s="11"/>
      <c r="E52" s="11"/>
      <c r="F52" s="11"/>
      <c r="G52" s="11"/>
      <c r="H52" s="12" t="s">
        <v>104</v>
      </c>
      <c r="I52" s="14">
        <v>17000</v>
      </c>
      <c r="J52" s="11">
        <v>31</v>
      </c>
      <c r="K52" s="11">
        <v>0</v>
      </c>
      <c r="L52" s="13">
        <f>I52/31*J52</f>
        <v>17000</v>
      </c>
      <c r="M52" s="13">
        <f>ROUND(I52/31/12*1*K52,0)</f>
        <v>0</v>
      </c>
      <c r="N52" s="13">
        <v>0</v>
      </c>
      <c r="O52" s="30">
        <f>SUM(L52:N52)</f>
        <v>17000</v>
      </c>
      <c r="P52" s="13">
        <v>0</v>
      </c>
      <c r="Q52" s="13">
        <v>0</v>
      </c>
      <c r="R52" s="13">
        <f>U52+V52-W52</f>
        <v>7000</v>
      </c>
      <c r="S52" s="13">
        <f>ROUND(O52-P52-Q52-R52,)</f>
        <v>10000</v>
      </c>
      <c r="T52" s="14"/>
      <c r="U52" s="2">
        <v>7000</v>
      </c>
    </row>
    <row r="53" spans="1:22" s="2" customFormat="1">
      <c r="A53" s="11">
        <f t="shared" si="6"/>
        <v>49</v>
      </c>
      <c r="B53" s="11">
        <v>11806</v>
      </c>
      <c r="C53" s="11" t="s">
        <v>310</v>
      </c>
      <c r="D53" s="11"/>
      <c r="E53" s="11"/>
      <c r="F53" s="11"/>
      <c r="G53" s="11"/>
      <c r="H53" s="12" t="s">
        <v>104</v>
      </c>
      <c r="I53" s="14">
        <v>17000</v>
      </c>
      <c r="J53" s="11">
        <v>30</v>
      </c>
      <c r="K53" s="11">
        <v>0</v>
      </c>
      <c r="L53" s="13">
        <f>I53/31*J53</f>
        <v>16451.612903225807</v>
      </c>
      <c r="M53" s="13">
        <f>ROUND(I53/31/12*1*K53,0)</f>
        <v>0</v>
      </c>
      <c r="N53" s="13">
        <v>0</v>
      </c>
      <c r="O53" s="30">
        <f>SUM(L53:N53)</f>
        <v>16451.612903225807</v>
      </c>
      <c r="P53" s="13">
        <v>0</v>
      </c>
      <c r="Q53" s="13">
        <v>0</v>
      </c>
      <c r="R53" s="13">
        <f>U53+V53-W53</f>
        <v>7500</v>
      </c>
      <c r="S53" s="13">
        <f>ROUND(O53-P53-Q53-R53,)</f>
        <v>8952</v>
      </c>
      <c r="T53" s="14"/>
      <c r="U53" s="2">
        <v>7500</v>
      </c>
    </row>
    <row r="54" spans="1:22" s="2" customFormat="1">
      <c r="A54" s="11">
        <f t="shared" si="6"/>
        <v>50</v>
      </c>
      <c r="B54" s="11">
        <v>11807</v>
      </c>
      <c r="C54" s="11" t="s">
        <v>311</v>
      </c>
      <c r="D54" s="11"/>
      <c r="E54" s="11"/>
      <c r="F54" s="11"/>
      <c r="G54" s="11"/>
      <c r="H54" s="12" t="s">
        <v>104</v>
      </c>
      <c r="I54" s="14">
        <v>16000</v>
      </c>
      <c r="J54" s="11"/>
      <c r="K54" s="11"/>
      <c r="L54" s="13">
        <f>I54/31*J54</f>
        <v>0</v>
      </c>
      <c r="M54" s="13">
        <f>ROUND(I54/31/12*1*K54,0)</f>
        <v>0</v>
      </c>
      <c r="N54" s="13">
        <v>0</v>
      </c>
      <c r="O54" s="13">
        <f>SUM(L54:N54)</f>
        <v>0</v>
      </c>
      <c r="P54" s="13">
        <v>0</v>
      </c>
      <c r="Q54" s="13">
        <v>0</v>
      </c>
      <c r="R54" s="13">
        <f>U54+V54-W54</f>
        <v>0</v>
      </c>
      <c r="S54" s="13">
        <f>ROUND(O54-P54-Q54-R54,)</f>
        <v>0</v>
      </c>
      <c r="T54" s="14"/>
    </row>
    <row r="55" spans="1:22" s="2" customFormat="1">
      <c r="A55" s="11">
        <f t="shared" si="6"/>
        <v>51</v>
      </c>
      <c r="B55" s="11">
        <v>11805</v>
      </c>
      <c r="C55" s="12" t="s">
        <v>313</v>
      </c>
      <c r="D55" s="11"/>
      <c r="E55" s="11"/>
      <c r="F55" s="11"/>
      <c r="G55" s="11"/>
      <c r="H55" s="12" t="s">
        <v>104</v>
      </c>
      <c r="I55" s="14">
        <v>17000</v>
      </c>
      <c r="J55" s="11">
        <v>31</v>
      </c>
      <c r="K55" s="11">
        <v>0</v>
      </c>
      <c r="L55" s="13">
        <f>I55/31*J55</f>
        <v>17000</v>
      </c>
      <c r="M55" s="13">
        <f>ROUND(I55/31/12*1*K55,0)</f>
        <v>0</v>
      </c>
      <c r="N55" s="13">
        <v>0</v>
      </c>
      <c r="O55" s="30">
        <f>SUM(L55:N55)</f>
        <v>17000</v>
      </c>
      <c r="P55" s="13">
        <v>0</v>
      </c>
      <c r="Q55" s="13">
        <v>0</v>
      </c>
      <c r="R55" s="13">
        <f>U55+V55-W55</f>
        <v>7000</v>
      </c>
      <c r="S55" s="13">
        <f>ROUND(O55-P55-Q55-R55,)</f>
        <v>10000</v>
      </c>
      <c r="T55" s="14"/>
      <c r="U55" s="2">
        <v>5000</v>
      </c>
      <c r="V55" s="2">
        <v>2000</v>
      </c>
    </row>
    <row r="56" spans="1:22" s="2" customFormat="1">
      <c r="A56" s="11">
        <f t="shared" si="6"/>
        <v>52</v>
      </c>
      <c r="B56" s="11"/>
      <c r="C56" s="12" t="s">
        <v>316</v>
      </c>
      <c r="D56" s="11"/>
      <c r="E56" s="11"/>
      <c r="F56" s="11"/>
      <c r="G56" s="11"/>
      <c r="H56" s="12" t="s">
        <v>104</v>
      </c>
      <c r="I56" s="14">
        <v>17000</v>
      </c>
      <c r="J56" s="11">
        <v>16</v>
      </c>
      <c r="K56" s="11">
        <v>0</v>
      </c>
      <c r="L56" s="13">
        <f>I56/31*J56</f>
        <v>8774.1935483870966</v>
      </c>
      <c r="M56" s="13">
        <f>ROUND(I56/31/12*1*K56,0)</f>
        <v>0</v>
      </c>
      <c r="N56" s="13">
        <v>0</v>
      </c>
      <c r="O56" s="13">
        <f>SUM(L56:N56)</f>
        <v>8774.1935483870966</v>
      </c>
      <c r="P56" s="13">
        <v>0</v>
      </c>
      <c r="Q56" s="13">
        <v>0</v>
      </c>
      <c r="R56" s="13">
        <f>U56+V56-W56</f>
        <v>3000</v>
      </c>
      <c r="S56" s="13">
        <f>ROUND(O56-P56-Q56-R56,)</f>
        <v>5774</v>
      </c>
      <c r="T56" s="14"/>
      <c r="U56" s="2">
        <v>3000</v>
      </c>
    </row>
    <row r="57" spans="1:22" s="2" customFormat="1">
      <c r="A57" s="11">
        <f t="shared" si="6"/>
        <v>53</v>
      </c>
      <c r="B57" s="11">
        <v>11701</v>
      </c>
      <c r="C57" s="11" t="s">
        <v>292</v>
      </c>
      <c r="D57" s="26"/>
      <c r="E57" s="12" t="s">
        <v>293</v>
      </c>
      <c r="F57" s="25" t="s">
        <v>294</v>
      </c>
      <c r="G57" s="12" t="s">
        <v>295</v>
      </c>
      <c r="H57" s="12" t="s">
        <v>99</v>
      </c>
      <c r="I57" s="11">
        <f>27000+1000+1500</f>
        <v>29500</v>
      </c>
      <c r="J57" s="11">
        <v>31</v>
      </c>
      <c r="K57" s="11">
        <v>0</v>
      </c>
      <c r="L57" s="13">
        <f>I57/31*J57</f>
        <v>29500</v>
      </c>
      <c r="M57" s="13">
        <f>ROUND(I57/31/12*1*K57,0)</f>
        <v>0</v>
      </c>
      <c r="N57" s="13">
        <v>1000</v>
      </c>
      <c r="O57" s="13">
        <f>SUM(L57:N57)</f>
        <v>30500</v>
      </c>
      <c r="P57" s="13">
        <v>0</v>
      </c>
      <c r="Q57" s="13">
        <v>0</v>
      </c>
      <c r="R57" s="13">
        <f>U57+V57-W57</f>
        <v>7500</v>
      </c>
      <c r="S57" s="13">
        <f>ROUND(O57-P57-Q57-R57,)</f>
        <v>23000</v>
      </c>
      <c r="T57" s="14"/>
      <c r="U57" s="2">
        <v>7500</v>
      </c>
    </row>
    <row r="58" spans="1:22" s="2" customFormat="1">
      <c r="A58" s="11">
        <f t="shared" si="6"/>
        <v>54</v>
      </c>
      <c r="B58" s="11">
        <v>10480</v>
      </c>
      <c r="C58" s="11" t="s">
        <v>178</v>
      </c>
      <c r="D58" s="12" t="s">
        <v>36</v>
      </c>
      <c r="E58" s="11" t="s">
        <v>27</v>
      </c>
      <c r="F58" s="11" t="s">
        <v>179</v>
      </c>
      <c r="G58" s="11" t="s">
        <v>38</v>
      </c>
      <c r="H58" s="11" t="s">
        <v>180</v>
      </c>
      <c r="I58" s="11">
        <f>260+20+30+20+30+30+30</f>
        <v>420</v>
      </c>
      <c r="J58" s="11">
        <v>31</v>
      </c>
      <c r="K58" s="11">
        <v>73</v>
      </c>
      <c r="L58" s="13">
        <f>I58*J58</f>
        <v>13020</v>
      </c>
      <c r="M58" s="13">
        <f>I58/8*2*K58</f>
        <v>7665</v>
      </c>
      <c r="N58" s="13">
        <v>0</v>
      </c>
      <c r="O58" s="13">
        <f>SUM(L58:N58)</f>
        <v>20685</v>
      </c>
      <c r="P58" s="13">
        <v>0</v>
      </c>
      <c r="Q58" s="13">
        <v>0</v>
      </c>
      <c r="R58" s="13">
        <f>U58+V58-W58</f>
        <v>5100</v>
      </c>
      <c r="S58" s="13">
        <f>ROUND(O58-P58-Q58-R58,)</f>
        <v>15585</v>
      </c>
      <c r="T58" s="12"/>
      <c r="U58" s="2">
        <v>5100</v>
      </c>
    </row>
    <row r="59" spans="1:22" s="2" customFormat="1">
      <c r="A59" s="11">
        <f t="shared" si="6"/>
        <v>55</v>
      </c>
      <c r="B59" s="11">
        <v>11531</v>
      </c>
      <c r="C59" s="12" t="s">
        <v>181</v>
      </c>
      <c r="D59" s="12" t="s">
        <v>182</v>
      </c>
      <c r="E59" s="12" t="s">
        <v>160</v>
      </c>
      <c r="F59" s="25" t="s">
        <v>183</v>
      </c>
      <c r="G59" s="12" t="s">
        <v>184</v>
      </c>
      <c r="H59" s="12" t="s">
        <v>180</v>
      </c>
      <c r="I59" s="14">
        <v>16000</v>
      </c>
      <c r="J59" s="11">
        <v>21</v>
      </c>
      <c r="K59" s="11">
        <v>0</v>
      </c>
      <c r="L59" s="13">
        <f>I59/31*J59</f>
        <v>10838.709677419354</v>
      </c>
      <c r="M59" s="13">
        <f>ROUND(I59/31/12*1*K59,0)</f>
        <v>0</v>
      </c>
      <c r="N59" s="13">
        <v>0</v>
      </c>
      <c r="O59" s="13">
        <f>SUM(L59:N59)</f>
        <v>10838.709677419354</v>
      </c>
      <c r="P59" s="13">
        <v>0</v>
      </c>
      <c r="Q59" s="13">
        <v>0</v>
      </c>
      <c r="R59" s="13">
        <f>U59+V59-W59</f>
        <v>10000</v>
      </c>
      <c r="S59" s="13">
        <f>ROUND(O59-P59-Q59-R59,)</f>
        <v>839</v>
      </c>
      <c r="T59" s="14"/>
      <c r="U59" s="2">
        <v>5000</v>
      </c>
      <c r="V59" s="2">
        <v>5000</v>
      </c>
    </row>
    <row r="60" spans="1:22" s="2" customFormat="1">
      <c r="A60" s="11">
        <f t="shared" si="6"/>
        <v>56</v>
      </c>
      <c r="B60" s="11">
        <v>11411</v>
      </c>
      <c r="C60" s="11" t="s">
        <v>185</v>
      </c>
      <c r="D60" s="11" t="s">
        <v>186</v>
      </c>
      <c r="E60" s="11" t="s">
        <v>187</v>
      </c>
      <c r="F60" s="11" t="s">
        <v>188</v>
      </c>
      <c r="G60" s="11" t="s">
        <v>189</v>
      </c>
      <c r="H60" s="12" t="s">
        <v>180</v>
      </c>
      <c r="I60" s="11">
        <f>275+25+30+30</f>
        <v>360</v>
      </c>
      <c r="J60" s="11">
        <v>31</v>
      </c>
      <c r="K60" s="11">
        <v>85</v>
      </c>
      <c r="L60" s="13">
        <f>I60*J60</f>
        <v>11160</v>
      </c>
      <c r="M60" s="13">
        <f>I60/8*2*K60</f>
        <v>7650</v>
      </c>
      <c r="N60" s="13">
        <v>0</v>
      </c>
      <c r="O60" s="13">
        <f>SUM(L60:N60)</f>
        <v>18810</v>
      </c>
      <c r="P60" s="13">
        <v>0</v>
      </c>
      <c r="Q60" s="13">
        <v>0</v>
      </c>
      <c r="R60" s="13">
        <f>U60+V60-W60</f>
        <v>3500</v>
      </c>
      <c r="S60" s="13">
        <f>ROUND(O60-P60-Q60-R60,)</f>
        <v>15310</v>
      </c>
      <c r="T60" s="14"/>
      <c r="U60" s="2">
        <v>3500</v>
      </c>
    </row>
    <row r="61" spans="1:22" s="2" customFormat="1">
      <c r="A61" s="11">
        <f t="shared" si="6"/>
        <v>57</v>
      </c>
      <c r="B61" s="11"/>
      <c r="C61" s="11" t="s">
        <v>190</v>
      </c>
      <c r="D61" s="11" t="s">
        <v>41</v>
      </c>
      <c r="E61" s="11" t="s">
        <v>175</v>
      </c>
      <c r="F61" s="11" t="s">
        <v>191</v>
      </c>
      <c r="G61" s="11" t="s">
        <v>177</v>
      </c>
      <c r="H61" s="12" t="s">
        <v>180</v>
      </c>
      <c r="I61" s="11">
        <f>15500+1500+1000</f>
        <v>18000</v>
      </c>
      <c r="J61" s="11">
        <v>30</v>
      </c>
      <c r="K61" s="16">
        <v>0</v>
      </c>
      <c r="L61" s="13">
        <f>I61/31*J61</f>
        <v>17419.354838709678</v>
      </c>
      <c r="M61" s="13">
        <f>ROUND(I61/31/12*1*K61,0)</f>
        <v>0</v>
      </c>
      <c r="N61" s="13">
        <v>0</v>
      </c>
      <c r="O61" s="13">
        <f>SUM(L61:N61)</f>
        <v>17419.354838709678</v>
      </c>
      <c r="P61" s="13">
        <v>0</v>
      </c>
      <c r="Q61" s="13">
        <v>0</v>
      </c>
      <c r="R61" s="13">
        <f>U61+V61-W61</f>
        <v>9000</v>
      </c>
      <c r="S61" s="13">
        <f>ROUND(O61-P61-Q61-R61,)</f>
        <v>8419</v>
      </c>
      <c r="T61" s="14"/>
      <c r="U61" s="2">
        <v>7000</v>
      </c>
      <c r="V61" s="2">
        <v>2000</v>
      </c>
    </row>
    <row r="62" spans="1:22" s="2" customFormat="1">
      <c r="A62" s="11">
        <f t="shared" si="6"/>
        <v>58</v>
      </c>
      <c r="B62" s="11">
        <v>11676</v>
      </c>
      <c r="C62" s="11" t="s">
        <v>192</v>
      </c>
      <c r="D62" s="11"/>
      <c r="E62" s="12" t="s">
        <v>193</v>
      </c>
      <c r="F62" s="25" t="s">
        <v>194</v>
      </c>
      <c r="G62" s="12" t="s">
        <v>195</v>
      </c>
      <c r="H62" s="26" t="s">
        <v>180</v>
      </c>
      <c r="I62" s="14">
        <v>21000</v>
      </c>
      <c r="J62" s="11">
        <v>31</v>
      </c>
      <c r="K62" s="11">
        <v>0</v>
      </c>
      <c r="L62" s="13">
        <f>I62/31*J62</f>
        <v>21000</v>
      </c>
      <c r="M62" s="13">
        <f>I62/8*2*K62</f>
        <v>0</v>
      </c>
      <c r="N62" s="13">
        <v>0</v>
      </c>
      <c r="O62" s="13">
        <f>SUM(L62:N62)</f>
        <v>21000</v>
      </c>
      <c r="P62" s="13">
        <v>0</v>
      </c>
      <c r="Q62" s="13">
        <v>0</v>
      </c>
      <c r="R62" s="13">
        <f>U62+V62-W62</f>
        <v>4400</v>
      </c>
      <c r="S62" s="13">
        <f>ROUND(O62-P62-Q62-R62,)</f>
        <v>16600</v>
      </c>
      <c r="T62" s="14"/>
      <c r="U62" s="2">
        <v>4400</v>
      </c>
    </row>
    <row r="63" spans="1:22" s="2" customFormat="1">
      <c r="A63" s="11">
        <f t="shared" si="6"/>
        <v>59</v>
      </c>
      <c r="B63" s="11">
        <v>11821</v>
      </c>
      <c r="C63" s="11" t="s">
        <v>312</v>
      </c>
      <c r="D63" s="11"/>
      <c r="E63" s="11"/>
      <c r="F63" s="11"/>
      <c r="G63" s="11"/>
      <c r="H63" s="12" t="s">
        <v>180</v>
      </c>
      <c r="I63" s="32">
        <v>23000</v>
      </c>
      <c r="J63" s="11">
        <v>31</v>
      </c>
      <c r="K63" s="11">
        <v>0</v>
      </c>
      <c r="L63" s="13">
        <f>I63/31*J63</f>
        <v>23000</v>
      </c>
      <c r="M63" s="13">
        <f>ROUND(I63/31/12*1*K63,0)</f>
        <v>0</v>
      </c>
      <c r="N63" s="13">
        <v>0</v>
      </c>
      <c r="O63" s="30">
        <f>SUM(L63:N63)</f>
        <v>23000</v>
      </c>
      <c r="P63" s="13">
        <v>0</v>
      </c>
      <c r="Q63" s="13">
        <v>0</v>
      </c>
      <c r="R63" s="13">
        <f>U63+V63-W63</f>
        <v>9400</v>
      </c>
      <c r="S63" s="13">
        <f>ROUND(O63-P63-Q63-R63,)</f>
        <v>13600</v>
      </c>
      <c r="T63" s="14"/>
      <c r="U63" s="2">
        <v>4400</v>
      </c>
      <c r="V63" s="2">
        <v>5000</v>
      </c>
    </row>
    <row r="64" spans="1:22" s="2" customFormat="1">
      <c r="A64" s="11">
        <f t="shared" si="6"/>
        <v>60</v>
      </c>
      <c r="B64" s="11">
        <v>10553</v>
      </c>
      <c r="C64" s="11" t="s">
        <v>196</v>
      </c>
      <c r="D64" s="11"/>
      <c r="E64" s="11" t="s">
        <v>197</v>
      </c>
      <c r="F64" s="11" t="s">
        <v>198</v>
      </c>
      <c r="G64" s="11" t="s">
        <v>199</v>
      </c>
      <c r="H64" s="12" t="s">
        <v>200</v>
      </c>
      <c r="I64" s="11">
        <f>17000+1000+1500+1500+1500+2000+1500</f>
        <v>26000</v>
      </c>
      <c r="J64" s="11">
        <v>27</v>
      </c>
      <c r="K64" s="11">
        <v>0</v>
      </c>
      <c r="L64" s="13">
        <f>I64/31*J64</f>
        <v>22645.161290322583</v>
      </c>
      <c r="M64" s="13">
        <f>ROUND(I64/31/12*1*K64,0)</f>
        <v>0</v>
      </c>
      <c r="N64" s="13">
        <v>1500</v>
      </c>
      <c r="O64" s="13">
        <f>SUM(L64:N64)</f>
        <v>24145.161290322583</v>
      </c>
      <c r="P64" s="11">
        <v>1498</v>
      </c>
      <c r="Q64" s="13">
        <v>0</v>
      </c>
      <c r="R64" s="13">
        <f>U64+V64-W64</f>
        <v>3700</v>
      </c>
      <c r="S64" s="13">
        <f>ROUND(O64-P64-Q64-R64,)</f>
        <v>18947</v>
      </c>
      <c r="T64" s="14"/>
      <c r="U64" s="2">
        <v>3700</v>
      </c>
    </row>
    <row r="65" spans="1:22" s="2" customFormat="1">
      <c r="A65" s="11">
        <f t="shared" si="6"/>
        <v>61</v>
      </c>
      <c r="B65" s="11">
        <v>10940</v>
      </c>
      <c r="C65" s="11" t="s">
        <v>201</v>
      </c>
      <c r="D65" s="12" t="s">
        <v>41</v>
      </c>
      <c r="E65" s="11" t="s">
        <v>202</v>
      </c>
      <c r="F65" s="11" t="s">
        <v>203</v>
      </c>
      <c r="G65" s="11" t="s">
        <v>204</v>
      </c>
      <c r="H65" s="11" t="s">
        <v>200</v>
      </c>
      <c r="I65" s="11">
        <f>17000+1000+1500+1500+1500+1500+1500</f>
        <v>25500</v>
      </c>
      <c r="J65" s="11">
        <v>0</v>
      </c>
      <c r="K65" s="12">
        <v>0</v>
      </c>
      <c r="L65" s="13">
        <f>I65/31*J65</f>
        <v>0</v>
      </c>
      <c r="M65" s="13">
        <f>ROUND(I65/31/12*1*K65,0)</f>
        <v>0</v>
      </c>
      <c r="N65" s="13">
        <v>0</v>
      </c>
      <c r="O65" s="13">
        <f>SUM(L65:N65)</f>
        <v>0</v>
      </c>
      <c r="P65" s="13">
        <v>0</v>
      </c>
      <c r="Q65" s="13">
        <v>0</v>
      </c>
      <c r="R65" s="13">
        <f>U65+V65-W65</f>
        <v>0</v>
      </c>
      <c r="S65" s="13">
        <f>ROUND(O65-P65-Q65-R65,)</f>
        <v>0</v>
      </c>
      <c r="T65" s="14"/>
      <c r="U65" s="2">
        <v>0</v>
      </c>
    </row>
    <row r="66" spans="1:22" s="2" customFormat="1">
      <c r="A66" s="11">
        <f t="shared" si="6"/>
        <v>62</v>
      </c>
      <c r="B66" s="11">
        <v>11542</v>
      </c>
      <c r="C66" s="11" t="s">
        <v>205</v>
      </c>
      <c r="D66" s="11" t="s">
        <v>41</v>
      </c>
      <c r="E66" s="11" t="s">
        <v>206</v>
      </c>
      <c r="F66" s="11" t="s">
        <v>207</v>
      </c>
      <c r="G66" s="11" t="s">
        <v>208</v>
      </c>
      <c r="H66" s="12" t="s">
        <v>200</v>
      </c>
      <c r="I66" s="11">
        <f>18000+1000+1500+500+1500+500</f>
        <v>23000</v>
      </c>
      <c r="J66" s="11">
        <v>31</v>
      </c>
      <c r="K66" s="11">
        <v>0</v>
      </c>
      <c r="L66" s="13">
        <f>I66/31*J66</f>
        <v>23000</v>
      </c>
      <c r="M66" s="13">
        <f>ROUND(I66/31/12*1*K66,0)</f>
        <v>0</v>
      </c>
      <c r="N66" s="13">
        <v>0</v>
      </c>
      <c r="O66" s="13">
        <f>SUM(L66:N66)</f>
        <v>23000</v>
      </c>
      <c r="P66" s="13">
        <v>0</v>
      </c>
      <c r="Q66" s="13">
        <v>0</v>
      </c>
      <c r="R66" s="13">
        <f>U66+V66-W66</f>
        <v>5000</v>
      </c>
      <c r="S66" s="13">
        <f>ROUND(O66-P66-Q66-R66,)</f>
        <v>18000</v>
      </c>
      <c r="T66" s="14"/>
      <c r="U66" s="2">
        <v>5000</v>
      </c>
    </row>
    <row r="67" spans="1:22" s="2" customFormat="1">
      <c r="A67" s="11">
        <f t="shared" si="6"/>
        <v>63</v>
      </c>
      <c r="B67" s="11">
        <v>10449</v>
      </c>
      <c r="C67" s="11" t="s">
        <v>209</v>
      </c>
      <c r="D67" s="11"/>
      <c r="E67" s="11" t="s">
        <v>27</v>
      </c>
      <c r="F67" s="11" t="s">
        <v>210</v>
      </c>
      <c r="G67" s="11" t="s">
        <v>211</v>
      </c>
      <c r="H67" s="11" t="s">
        <v>212</v>
      </c>
      <c r="I67" s="11">
        <f>400+100+30+20+30+30+30</f>
        <v>640</v>
      </c>
      <c r="J67" s="11">
        <v>28</v>
      </c>
      <c r="K67" s="11">
        <v>0</v>
      </c>
      <c r="L67" s="13">
        <f>I67*J67</f>
        <v>17920</v>
      </c>
      <c r="M67" s="13">
        <f>I67/8*1*K67</f>
        <v>0</v>
      </c>
      <c r="N67" s="13">
        <v>0</v>
      </c>
      <c r="O67" s="13">
        <f>SUM(L67:N67)</f>
        <v>17920</v>
      </c>
      <c r="P67" s="11">
        <v>1257</v>
      </c>
      <c r="Q67" s="13">
        <v>0</v>
      </c>
      <c r="R67" s="13">
        <f>U67+V67-W67</f>
        <v>2500</v>
      </c>
      <c r="S67" s="13">
        <f>ROUND(O67-P67-Q67-R67,)</f>
        <v>14163</v>
      </c>
      <c r="T67" s="12"/>
      <c r="U67" s="2">
        <v>2500</v>
      </c>
    </row>
    <row r="68" spans="1:22" s="2" customFormat="1">
      <c r="A68" s="11">
        <f t="shared" si="6"/>
        <v>64</v>
      </c>
      <c r="B68" s="11">
        <v>11344</v>
      </c>
      <c r="C68" s="11" t="s">
        <v>213</v>
      </c>
      <c r="D68" s="11"/>
      <c r="E68" s="11" t="s">
        <v>27</v>
      </c>
      <c r="F68" s="11" t="s">
        <v>214</v>
      </c>
      <c r="G68" s="11" t="s">
        <v>211</v>
      </c>
      <c r="H68" s="12" t="s">
        <v>212</v>
      </c>
      <c r="I68" s="11">
        <f>400+20+30+30+30+30</f>
        <v>540</v>
      </c>
      <c r="J68" s="12">
        <v>0</v>
      </c>
      <c r="K68" s="11">
        <v>0</v>
      </c>
      <c r="L68" s="13">
        <f>I68*J68</f>
        <v>0</v>
      </c>
      <c r="M68" s="13">
        <f>I68/8*1*K68</f>
        <v>0</v>
      </c>
      <c r="N68" s="13">
        <v>0</v>
      </c>
      <c r="O68" s="13">
        <f>SUM(L68:N68)</f>
        <v>0</v>
      </c>
      <c r="P68" s="13">
        <v>0</v>
      </c>
      <c r="Q68" s="13">
        <v>0</v>
      </c>
      <c r="R68" s="13">
        <f>U68+V68-W68</f>
        <v>0</v>
      </c>
      <c r="S68" s="13">
        <f>ROUND(O68-P68-Q68-R68,)</f>
        <v>0</v>
      </c>
      <c r="T68" s="14"/>
      <c r="U68" s="2">
        <v>0</v>
      </c>
    </row>
    <row r="69" spans="1:22" s="2" customFormat="1">
      <c r="A69" s="11">
        <f t="shared" si="6"/>
        <v>65</v>
      </c>
      <c r="B69" s="11">
        <v>11455</v>
      </c>
      <c r="C69" s="11" t="s">
        <v>215</v>
      </c>
      <c r="D69" s="12" t="s">
        <v>36</v>
      </c>
      <c r="E69" s="12" t="s">
        <v>27</v>
      </c>
      <c r="F69" s="25" t="s">
        <v>216</v>
      </c>
      <c r="G69" s="25" t="s">
        <v>38</v>
      </c>
      <c r="H69" s="26" t="s">
        <v>212</v>
      </c>
      <c r="I69" s="11">
        <f>400+30+20</f>
        <v>450</v>
      </c>
      <c r="J69" s="12">
        <v>9</v>
      </c>
      <c r="K69" s="11"/>
      <c r="L69" s="13">
        <f>I69*J69</f>
        <v>4050</v>
      </c>
      <c r="M69" s="13">
        <f>I69/8*2*K69</f>
        <v>0</v>
      </c>
      <c r="N69" s="13">
        <v>0</v>
      </c>
      <c r="O69" s="13">
        <f>SUM(L69:N69)</f>
        <v>4050</v>
      </c>
      <c r="P69" s="13">
        <v>0</v>
      </c>
      <c r="Q69" s="13">
        <v>0</v>
      </c>
      <c r="R69" s="13">
        <f>U69+V69-W69</f>
        <v>500</v>
      </c>
      <c r="S69" s="13">
        <f>ROUND(O69-P69-Q69-R69,)</f>
        <v>3550</v>
      </c>
      <c r="T69" s="14"/>
      <c r="U69" s="2">
        <v>500</v>
      </c>
    </row>
    <row r="70" spans="1:22" s="2" customFormat="1">
      <c r="A70" s="11">
        <f t="shared" si="6"/>
        <v>66</v>
      </c>
      <c r="B70" s="11">
        <v>196</v>
      </c>
      <c r="C70" s="11" t="s">
        <v>217</v>
      </c>
      <c r="D70" s="12" t="s">
        <v>169</v>
      </c>
      <c r="E70" s="11" t="s">
        <v>170</v>
      </c>
      <c r="F70" s="11" t="s">
        <v>218</v>
      </c>
      <c r="G70" s="11" t="s">
        <v>172</v>
      </c>
      <c r="H70" s="11" t="s">
        <v>219</v>
      </c>
      <c r="I70" s="11">
        <f>19500+1000+1250+1750+1750</f>
        <v>25250</v>
      </c>
      <c r="J70" s="11">
        <v>31</v>
      </c>
      <c r="K70" s="11">
        <v>0</v>
      </c>
      <c r="L70" s="13">
        <f>I70/31*J70</f>
        <v>25250</v>
      </c>
      <c r="M70" s="13">
        <f>ROUND(I70/31/12*1*K70,0)</f>
        <v>0</v>
      </c>
      <c r="N70" s="13">
        <v>0</v>
      </c>
      <c r="O70" s="13">
        <f>SUM(L70:N70)</f>
        <v>25250</v>
      </c>
      <c r="P70" s="13">
        <v>0</v>
      </c>
      <c r="Q70" s="13">
        <v>0</v>
      </c>
      <c r="R70" s="13">
        <f>U70+V70-W70</f>
        <v>6000</v>
      </c>
      <c r="S70" s="13">
        <f>ROUND(O70-P70-Q70-R70,)</f>
        <v>19250</v>
      </c>
      <c r="T70" s="12"/>
      <c r="U70" s="2">
        <v>6000</v>
      </c>
    </row>
    <row r="71" spans="1:22" s="2" customFormat="1">
      <c r="A71" s="11">
        <f t="shared" si="6"/>
        <v>67</v>
      </c>
      <c r="B71" s="11">
        <v>10499</v>
      </c>
      <c r="C71" s="11" t="s">
        <v>220</v>
      </c>
      <c r="D71" s="12" t="s">
        <v>36</v>
      </c>
      <c r="E71" s="11" t="s">
        <v>27</v>
      </c>
      <c r="F71" s="11" t="s">
        <v>221</v>
      </c>
      <c r="G71" s="11" t="s">
        <v>38</v>
      </c>
      <c r="H71" s="11" t="s">
        <v>219</v>
      </c>
      <c r="I71" s="11">
        <f>330+25+30+30</f>
        <v>415</v>
      </c>
      <c r="J71" s="11">
        <v>30.5</v>
      </c>
      <c r="K71" s="11">
        <v>69</v>
      </c>
      <c r="L71" s="13">
        <f>I71*J71</f>
        <v>12657.5</v>
      </c>
      <c r="M71" s="13">
        <f>I71/8*2*K71</f>
        <v>7158.75</v>
      </c>
      <c r="N71" s="13">
        <v>0</v>
      </c>
      <c r="O71" s="13">
        <f>SUM(L71:N71)</f>
        <v>19816.25</v>
      </c>
      <c r="P71" s="13">
        <v>0</v>
      </c>
      <c r="Q71" s="13">
        <v>0</v>
      </c>
      <c r="R71" s="13">
        <f>U71+V71-W71</f>
        <v>7800</v>
      </c>
      <c r="S71" s="13">
        <f>ROUND(O71-P71-Q71-R71,)</f>
        <v>12016</v>
      </c>
      <c r="T71" s="12"/>
      <c r="U71" s="2">
        <v>4800</v>
      </c>
      <c r="V71" s="19">
        <v>3000</v>
      </c>
    </row>
    <row r="72" spans="1:22" s="2" customFormat="1">
      <c r="A72" s="11">
        <f t="shared" si="6"/>
        <v>68</v>
      </c>
      <c r="B72" s="11">
        <v>10614</v>
      </c>
      <c r="C72" s="11" t="s">
        <v>222</v>
      </c>
      <c r="D72" s="12" t="s">
        <v>66</v>
      </c>
      <c r="E72" s="11" t="s">
        <v>27</v>
      </c>
      <c r="F72" s="11" t="s">
        <v>223</v>
      </c>
      <c r="G72" s="11" t="s">
        <v>68</v>
      </c>
      <c r="H72" s="11" t="s">
        <v>219</v>
      </c>
      <c r="I72" s="11">
        <f>310+20+25+30+30</f>
        <v>415</v>
      </c>
      <c r="J72" s="11">
        <v>29</v>
      </c>
      <c r="K72" s="11">
        <v>85</v>
      </c>
      <c r="L72" s="13">
        <f>I72*J72</f>
        <v>12035</v>
      </c>
      <c r="M72" s="13">
        <f>I72/8*2*K72</f>
        <v>8818.75</v>
      </c>
      <c r="N72" s="13">
        <v>0</v>
      </c>
      <c r="O72" s="13">
        <f>SUM(L72:N72)</f>
        <v>20853.75</v>
      </c>
      <c r="P72" s="13">
        <v>0</v>
      </c>
      <c r="Q72" s="13">
        <v>0</v>
      </c>
      <c r="R72" s="13">
        <f>U72+V72-W72</f>
        <v>14100</v>
      </c>
      <c r="S72" s="13">
        <f>ROUND(O72-P72-Q72-R72,)</f>
        <v>6754</v>
      </c>
      <c r="T72" s="12"/>
      <c r="U72" s="2">
        <v>4100</v>
      </c>
      <c r="V72" s="2">
        <f>5000+5000</f>
        <v>10000</v>
      </c>
    </row>
    <row r="73" spans="1:22" s="2" customFormat="1">
      <c r="A73" s="11">
        <f t="shared" si="6"/>
        <v>69</v>
      </c>
      <c r="B73" s="11">
        <v>10723</v>
      </c>
      <c r="C73" s="11" t="s">
        <v>224</v>
      </c>
      <c r="D73" s="12" t="s">
        <v>66</v>
      </c>
      <c r="E73" s="11" t="s">
        <v>225</v>
      </c>
      <c r="F73" s="11" t="s">
        <v>226</v>
      </c>
      <c r="G73" s="11" t="s">
        <v>227</v>
      </c>
      <c r="H73" s="11" t="s">
        <v>219</v>
      </c>
      <c r="I73" s="31">
        <f>19000+1000+1000+1500+1500+1000</f>
        <v>25000</v>
      </c>
      <c r="J73" s="11">
        <v>31</v>
      </c>
      <c r="K73" s="11">
        <v>0</v>
      </c>
      <c r="L73" s="13">
        <f>I73/31*J73</f>
        <v>25000</v>
      </c>
      <c r="M73" s="13">
        <f>ROUND(I73/31/12*1*K73,0)</f>
        <v>0</v>
      </c>
      <c r="N73" s="13">
        <v>0</v>
      </c>
      <c r="O73" s="13">
        <f>SUM(L73:N73)</f>
        <v>25000</v>
      </c>
      <c r="P73" s="13">
        <v>0</v>
      </c>
      <c r="Q73" s="13">
        <v>0</v>
      </c>
      <c r="R73" s="13">
        <f>U73+V73-W73</f>
        <v>5000</v>
      </c>
      <c r="S73" s="13">
        <f>ROUND(O73-P73-Q73-R73,)</f>
        <v>20000</v>
      </c>
      <c r="T73" s="12"/>
      <c r="U73" s="2">
        <v>5000</v>
      </c>
    </row>
    <row r="74" spans="1:22" s="2" customFormat="1">
      <c r="A74" s="11">
        <f t="shared" si="6"/>
        <v>70</v>
      </c>
      <c r="B74" s="11">
        <v>11250</v>
      </c>
      <c r="C74" s="11" t="s">
        <v>228</v>
      </c>
      <c r="D74" s="11"/>
      <c r="E74" s="11" t="s">
        <v>229</v>
      </c>
      <c r="F74" s="11" t="s">
        <v>230</v>
      </c>
      <c r="G74" s="11" t="s">
        <v>231</v>
      </c>
      <c r="H74" s="12" t="s">
        <v>219</v>
      </c>
      <c r="I74" s="31">
        <v>26000</v>
      </c>
      <c r="J74" s="16">
        <v>31</v>
      </c>
      <c r="K74" s="16">
        <v>6</v>
      </c>
      <c r="L74" s="13">
        <f>I74/31*J74</f>
        <v>26000</v>
      </c>
      <c r="M74" s="13">
        <f>ROUND(I74/31/12*1*K74,0)</f>
        <v>419</v>
      </c>
      <c r="N74" s="13">
        <v>0</v>
      </c>
      <c r="O74" s="13">
        <f>SUM(L74:N74)</f>
        <v>26419</v>
      </c>
      <c r="P74" s="13">
        <v>0</v>
      </c>
      <c r="Q74" s="13">
        <v>0</v>
      </c>
      <c r="R74" s="13">
        <f>U74+V74-W74</f>
        <v>9400</v>
      </c>
      <c r="S74" s="13">
        <f>ROUND(O74-P74-Q74-R74,)</f>
        <v>17019</v>
      </c>
      <c r="T74" s="14"/>
      <c r="U74" s="2">
        <v>4400</v>
      </c>
      <c r="V74" s="2">
        <v>5000</v>
      </c>
    </row>
    <row r="75" spans="1:22" s="2" customFormat="1">
      <c r="A75" s="11">
        <f t="shared" si="6"/>
        <v>71</v>
      </c>
      <c r="B75" s="11">
        <v>11012</v>
      </c>
      <c r="C75" s="11" t="s">
        <v>232</v>
      </c>
      <c r="D75" s="12" t="s">
        <v>41</v>
      </c>
      <c r="E75" s="11" t="s">
        <v>233</v>
      </c>
      <c r="F75" s="11" t="s">
        <v>234</v>
      </c>
      <c r="G75" s="11" t="s">
        <v>235</v>
      </c>
      <c r="H75" s="12" t="s">
        <v>219</v>
      </c>
      <c r="I75" s="11">
        <f>250+30+30+25+30+25+30</f>
        <v>420</v>
      </c>
      <c r="J75" s="11">
        <v>0</v>
      </c>
      <c r="K75" s="11">
        <v>0</v>
      </c>
      <c r="L75" s="13">
        <f>I75*J75</f>
        <v>0</v>
      </c>
      <c r="M75" s="13">
        <f>I75/8*2*K75</f>
        <v>0</v>
      </c>
      <c r="N75" s="13">
        <v>0</v>
      </c>
      <c r="O75" s="13">
        <f>SUM(L75:N75)</f>
        <v>0</v>
      </c>
      <c r="P75" s="13">
        <v>0</v>
      </c>
      <c r="Q75" s="13">
        <v>0</v>
      </c>
      <c r="R75" s="13">
        <f>U75+V75-W75</f>
        <v>0</v>
      </c>
      <c r="S75" s="13">
        <f>ROUND(O75-P75-Q75-R75,)</f>
        <v>0</v>
      </c>
      <c r="T75" s="12"/>
      <c r="U75" s="2">
        <v>0</v>
      </c>
    </row>
    <row r="76" spans="1:22" s="2" customFormat="1">
      <c r="A76" s="11">
        <f t="shared" si="6"/>
        <v>72</v>
      </c>
      <c r="B76" s="11">
        <v>10746</v>
      </c>
      <c r="C76" s="11" t="s">
        <v>236</v>
      </c>
      <c r="D76" s="12" t="s">
        <v>169</v>
      </c>
      <c r="E76" s="11" t="s">
        <v>170</v>
      </c>
      <c r="F76" s="11" t="s">
        <v>237</v>
      </c>
      <c r="G76" s="11" t="s">
        <v>172</v>
      </c>
      <c r="H76" s="12" t="s">
        <v>219</v>
      </c>
      <c r="I76" s="11">
        <f>290+30+20+20</f>
        <v>360</v>
      </c>
      <c r="J76" s="11">
        <v>0</v>
      </c>
      <c r="K76" s="11">
        <v>0</v>
      </c>
      <c r="L76" s="13">
        <f>I76*J76</f>
        <v>0</v>
      </c>
      <c r="M76" s="13">
        <f>I76/8*2*K76</f>
        <v>0</v>
      </c>
      <c r="N76" s="13">
        <v>0</v>
      </c>
      <c r="O76" s="13">
        <f>SUM(L76:N76)</f>
        <v>0</v>
      </c>
      <c r="P76" s="13">
        <v>0</v>
      </c>
      <c r="Q76" s="13">
        <v>0</v>
      </c>
      <c r="R76" s="13">
        <f>U76+V76-W76</f>
        <v>0</v>
      </c>
      <c r="S76" s="13">
        <f>ROUND(O76-P76-Q76-R76,)</f>
        <v>0</v>
      </c>
      <c r="T76" s="14"/>
      <c r="U76" s="2">
        <v>0</v>
      </c>
    </row>
    <row r="77" spans="1:22" s="2" customFormat="1">
      <c r="A77" s="11">
        <f t="shared" si="6"/>
        <v>73</v>
      </c>
      <c r="B77" s="11">
        <v>11287</v>
      </c>
      <c r="C77" s="11" t="s">
        <v>238</v>
      </c>
      <c r="D77" s="12" t="s">
        <v>41</v>
      </c>
      <c r="E77" s="11" t="s">
        <v>27</v>
      </c>
      <c r="F77" s="25" t="s">
        <v>239</v>
      </c>
      <c r="G77" s="11" t="s">
        <v>54</v>
      </c>
      <c r="H77" s="12" t="s">
        <v>219</v>
      </c>
      <c r="I77" s="11">
        <f>22000+1500+1500</f>
        <v>25000</v>
      </c>
      <c r="J77" s="16">
        <v>31</v>
      </c>
      <c r="K77" s="11">
        <v>0</v>
      </c>
      <c r="L77" s="13">
        <f>I77/31*J77</f>
        <v>25000</v>
      </c>
      <c r="M77" s="13">
        <f>ROUND(I77/31/12*1*K77,0)</f>
        <v>0</v>
      </c>
      <c r="N77" s="13">
        <v>0</v>
      </c>
      <c r="O77" s="13">
        <f>SUM(L77:N77)</f>
        <v>25000</v>
      </c>
      <c r="P77" s="13">
        <v>0</v>
      </c>
      <c r="Q77" s="13">
        <v>0</v>
      </c>
      <c r="R77" s="13">
        <f>U77+V77-W77</f>
        <v>5800</v>
      </c>
      <c r="S77" s="13">
        <f>ROUND(O77-P77-Q77-R77,)</f>
        <v>19200</v>
      </c>
      <c r="T77" s="14"/>
      <c r="U77" s="2">
        <v>5800</v>
      </c>
    </row>
    <row r="78" spans="1:22" s="2" customFormat="1">
      <c r="A78" s="11">
        <f t="shared" si="6"/>
        <v>74</v>
      </c>
      <c r="B78" s="11">
        <v>11424</v>
      </c>
      <c r="C78" s="11" t="s">
        <v>240</v>
      </c>
      <c r="D78" s="11" t="s">
        <v>169</v>
      </c>
      <c r="E78" s="11" t="s">
        <v>27</v>
      </c>
      <c r="F78" s="11" t="s">
        <v>241</v>
      </c>
      <c r="G78" s="11" t="s">
        <v>172</v>
      </c>
      <c r="H78" s="12" t="s">
        <v>219</v>
      </c>
      <c r="I78" s="11">
        <f>345+25+25</f>
        <v>395</v>
      </c>
      <c r="J78" s="11">
        <v>31</v>
      </c>
      <c r="K78" s="11">
        <v>80</v>
      </c>
      <c r="L78" s="13">
        <f>I78*J78</f>
        <v>12245</v>
      </c>
      <c r="M78" s="13">
        <f>I78/8*2*K78</f>
        <v>7900</v>
      </c>
      <c r="N78" s="13">
        <v>0</v>
      </c>
      <c r="O78" s="13">
        <f>SUM(L78:N78)</f>
        <v>20145</v>
      </c>
      <c r="P78" s="13">
        <v>0</v>
      </c>
      <c r="Q78" s="13">
        <v>0</v>
      </c>
      <c r="R78" s="13">
        <f>U78+V78-W78</f>
        <v>12500</v>
      </c>
      <c r="S78" s="13">
        <f>ROUND(O78-P78-Q78-R78,)</f>
        <v>7645</v>
      </c>
      <c r="T78" s="14"/>
      <c r="U78" s="2">
        <v>7500</v>
      </c>
      <c r="V78" s="19">
        <v>5000</v>
      </c>
    </row>
    <row r="79" spans="1:22" s="2" customFormat="1">
      <c r="A79" s="11">
        <f t="shared" si="6"/>
        <v>75</v>
      </c>
      <c r="B79" s="11">
        <v>10729</v>
      </c>
      <c r="C79" s="11" t="s">
        <v>242</v>
      </c>
      <c r="D79" s="11" t="s">
        <v>186</v>
      </c>
      <c r="E79" s="11" t="s">
        <v>229</v>
      </c>
      <c r="F79" s="11" t="s">
        <v>243</v>
      </c>
      <c r="G79" s="11" t="s">
        <v>231</v>
      </c>
      <c r="H79" s="12" t="s">
        <v>219</v>
      </c>
      <c r="I79" s="11">
        <f>380+20</f>
        <v>400</v>
      </c>
      <c r="J79" s="16">
        <v>0</v>
      </c>
      <c r="K79" s="16">
        <v>0</v>
      </c>
      <c r="L79" s="13">
        <f>I79*J79</f>
        <v>0</v>
      </c>
      <c r="M79" s="13">
        <f>I79/8*2*K79</f>
        <v>0</v>
      </c>
      <c r="N79" s="13">
        <v>0</v>
      </c>
      <c r="O79" s="13">
        <f>SUM(L79:N79)</f>
        <v>0</v>
      </c>
      <c r="P79" s="13">
        <v>0</v>
      </c>
      <c r="Q79" s="13">
        <v>0</v>
      </c>
      <c r="R79" s="13">
        <f>U79+V79-W79</f>
        <v>0</v>
      </c>
      <c r="S79" s="13">
        <f>ROUND(O79-P79-Q79-R79,)</f>
        <v>0</v>
      </c>
      <c r="T79" s="14"/>
      <c r="U79" s="2">
        <v>0</v>
      </c>
    </row>
    <row r="80" spans="1:22" s="2" customFormat="1">
      <c r="A80" s="11">
        <f t="shared" si="6"/>
        <v>76</v>
      </c>
      <c r="B80" s="11">
        <v>11332</v>
      </c>
      <c r="C80" s="11" t="s">
        <v>244</v>
      </c>
      <c r="D80" s="11" t="s">
        <v>186</v>
      </c>
      <c r="E80" s="11" t="s">
        <v>229</v>
      </c>
      <c r="F80" s="11" t="s">
        <v>245</v>
      </c>
      <c r="G80" s="11" t="s">
        <v>231</v>
      </c>
      <c r="H80" s="12" t="s">
        <v>219</v>
      </c>
      <c r="I80" s="11">
        <f>290+40+20</f>
        <v>350</v>
      </c>
      <c r="J80" s="11">
        <v>0</v>
      </c>
      <c r="K80" s="11">
        <v>0</v>
      </c>
      <c r="L80" s="13">
        <f>I80*J80</f>
        <v>0</v>
      </c>
      <c r="M80" s="13">
        <f>I80/8*2*K80</f>
        <v>0</v>
      </c>
      <c r="N80" s="13">
        <v>0</v>
      </c>
      <c r="O80" s="13">
        <f>SUM(L80:N80)</f>
        <v>0</v>
      </c>
      <c r="P80" s="13">
        <v>0</v>
      </c>
      <c r="Q80" s="13">
        <v>0</v>
      </c>
      <c r="R80" s="13">
        <f>U80+V80-W80</f>
        <v>0</v>
      </c>
      <c r="S80" s="13">
        <f>ROUND(O80-P80-Q80-R80,)</f>
        <v>0</v>
      </c>
      <c r="T80" s="14"/>
      <c r="U80" s="2">
        <v>0</v>
      </c>
    </row>
    <row r="81" spans="1:24" s="2" customFormat="1">
      <c r="A81" s="11">
        <f t="shared" si="6"/>
        <v>77</v>
      </c>
      <c r="B81" s="11">
        <v>11439</v>
      </c>
      <c r="C81" s="11" t="s">
        <v>246</v>
      </c>
      <c r="D81" s="11" t="s">
        <v>186</v>
      </c>
      <c r="E81" s="11" t="s">
        <v>229</v>
      </c>
      <c r="F81" s="11" t="s">
        <v>247</v>
      </c>
      <c r="G81" s="11" t="s">
        <v>231</v>
      </c>
      <c r="H81" s="12" t="s">
        <v>219</v>
      </c>
      <c r="I81" s="11">
        <f>340+30</f>
        <v>370</v>
      </c>
      <c r="J81" s="11">
        <v>0</v>
      </c>
      <c r="K81" s="11">
        <v>0</v>
      </c>
      <c r="L81" s="13">
        <f>I81*J81</f>
        <v>0</v>
      </c>
      <c r="M81" s="13">
        <f>I81/8*2*K81</f>
        <v>0</v>
      </c>
      <c r="N81" s="13">
        <v>0</v>
      </c>
      <c r="O81" s="13">
        <f>SUM(L81:N81)</f>
        <v>0</v>
      </c>
      <c r="P81" s="13">
        <v>0</v>
      </c>
      <c r="Q81" s="13">
        <v>0</v>
      </c>
      <c r="R81" s="13">
        <f>U81+V81-W81</f>
        <v>5000</v>
      </c>
      <c r="S81" s="13">
        <f>ROUND(O81-P81-Q81-R81,)</f>
        <v>-5000</v>
      </c>
      <c r="T81" s="14"/>
      <c r="U81" s="2">
        <v>0</v>
      </c>
      <c r="V81" s="2">
        <v>5000</v>
      </c>
    </row>
    <row r="82" spans="1:24" s="2" customFormat="1">
      <c r="A82" s="11">
        <f t="shared" si="6"/>
        <v>78</v>
      </c>
      <c r="B82" s="11">
        <v>11240</v>
      </c>
      <c r="C82" s="11" t="s">
        <v>248</v>
      </c>
      <c r="D82" s="11"/>
      <c r="E82" s="11"/>
      <c r="F82" s="11"/>
      <c r="G82" s="11"/>
      <c r="H82" s="26" t="s">
        <v>219</v>
      </c>
      <c r="I82" s="11">
        <f>310+25</f>
        <v>335</v>
      </c>
      <c r="J82" s="11">
        <v>0</v>
      </c>
      <c r="K82" s="11">
        <v>0</v>
      </c>
      <c r="L82" s="13">
        <f>I82*J82</f>
        <v>0</v>
      </c>
      <c r="M82" s="13">
        <f>I82/8*2*K82</f>
        <v>0</v>
      </c>
      <c r="N82" s="13">
        <v>0</v>
      </c>
      <c r="O82" s="13">
        <f>SUM(L82:N82)</f>
        <v>0</v>
      </c>
      <c r="P82" s="13">
        <v>0</v>
      </c>
      <c r="Q82" s="13">
        <v>0</v>
      </c>
      <c r="R82" s="13">
        <f>U82+V82-W82</f>
        <v>0</v>
      </c>
      <c r="S82" s="13">
        <f>ROUND(O82-P82-Q82-R82,)</f>
        <v>0</v>
      </c>
      <c r="T82" s="14"/>
      <c r="U82" s="2">
        <v>0</v>
      </c>
    </row>
    <row r="83" spans="1:24" s="2" customFormat="1">
      <c r="A83" s="11">
        <f t="shared" si="6"/>
        <v>79</v>
      </c>
      <c r="B83" s="11">
        <v>11675</v>
      </c>
      <c r="C83" s="11" t="s">
        <v>249</v>
      </c>
      <c r="D83" s="12" t="s">
        <v>169</v>
      </c>
      <c r="E83" s="12" t="s">
        <v>27</v>
      </c>
      <c r="F83" s="25" t="s">
        <v>250</v>
      </c>
      <c r="G83" s="12" t="s">
        <v>172</v>
      </c>
      <c r="H83" s="26" t="s">
        <v>219</v>
      </c>
      <c r="I83" s="11">
        <f>20000+1000</f>
        <v>21000</v>
      </c>
      <c r="J83" s="11">
        <v>0</v>
      </c>
      <c r="K83" s="11">
        <v>0</v>
      </c>
      <c r="L83" s="13">
        <f>I83/31*J83</f>
        <v>0</v>
      </c>
      <c r="M83" s="13">
        <f>ROUND(I83/31/12*1*K83,0)</f>
        <v>0</v>
      </c>
      <c r="N83" s="13">
        <v>0</v>
      </c>
      <c r="O83" s="13">
        <f>SUM(L83:N83)</f>
        <v>0</v>
      </c>
      <c r="P83" s="13">
        <v>0</v>
      </c>
      <c r="Q83" s="13">
        <v>0</v>
      </c>
      <c r="R83" s="13">
        <f>U83+V83-W83</f>
        <v>0</v>
      </c>
      <c r="S83" s="13">
        <f>ROUND(O83-P83-Q83-R83,)</f>
        <v>0</v>
      </c>
      <c r="T83" s="14"/>
      <c r="U83" s="2">
        <v>0</v>
      </c>
    </row>
    <row r="84" spans="1:24" s="2" customFormat="1">
      <c r="A84" s="11">
        <f t="shared" si="6"/>
        <v>80</v>
      </c>
      <c r="B84" s="11">
        <v>11662</v>
      </c>
      <c r="C84" s="11" t="s">
        <v>251</v>
      </c>
      <c r="D84" s="11"/>
      <c r="E84" s="12" t="s">
        <v>252</v>
      </c>
      <c r="F84" s="25" t="s">
        <v>253</v>
      </c>
      <c r="G84" s="12" t="s">
        <v>254</v>
      </c>
      <c r="H84" s="26" t="s">
        <v>219</v>
      </c>
      <c r="I84" s="11">
        <f>20000+1000</f>
        <v>21000</v>
      </c>
      <c r="J84" s="11">
        <v>19</v>
      </c>
      <c r="K84" s="11">
        <v>0</v>
      </c>
      <c r="L84" s="13">
        <f>I84/31*J84</f>
        <v>12870.967741935483</v>
      </c>
      <c r="M84" s="13">
        <f>ROUND(I84/31/12*1*K84,0)</f>
        <v>0</v>
      </c>
      <c r="N84" s="13">
        <v>0</v>
      </c>
      <c r="O84" s="13">
        <f>SUM(L84:N84)</f>
        <v>12870.967741935483</v>
      </c>
      <c r="P84" s="13">
        <v>0</v>
      </c>
      <c r="Q84" s="13">
        <v>0</v>
      </c>
      <c r="R84" s="13">
        <f>U84+V84-W84</f>
        <v>5000</v>
      </c>
      <c r="S84" s="13">
        <f>ROUND(O84-P84-Q84-R84,)</f>
        <v>7871</v>
      </c>
      <c r="T84" s="14"/>
      <c r="U84" s="2">
        <v>4000</v>
      </c>
      <c r="V84" s="19">
        <v>1000</v>
      </c>
    </row>
    <row r="85" spans="1:24" s="2" customFormat="1">
      <c r="A85" s="11">
        <f t="shared" si="6"/>
        <v>81</v>
      </c>
      <c r="B85" s="11">
        <v>11793</v>
      </c>
      <c r="C85" s="11" t="s">
        <v>299</v>
      </c>
      <c r="D85" s="11"/>
      <c r="E85" s="11"/>
      <c r="F85" s="11"/>
      <c r="G85" s="11"/>
      <c r="H85" s="26" t="s">
        <v>219</v>
      </c>
      <c r="I85" s="14">
        <f>18000+2000</f>
        <v>20000</v>
      </c>
      <c r="J85" s="11">
        <v>0</v>
      </c>
      <c r="K85" s="11">
        <v>0</v>
      </c>
      <c r="L85" s="13">
        <f>I85/31*J85</f>
        <v>0</v>
      </c>
      <c r="M85" s="13">
        <f>ROUND(I85/31/12*1*K85,0)</f>
        <v>0</v>
      </c>
      <c r="N85" s="13">
        <v>0</v>
      </c>
      <c r="O85" s="13">
        <f>SUM(L85:N85)</f>
        <v>0</v>
      </c>
      <c r="P85" s="13">
        <v>0</v>
      </c>
      <c r="Q85" s="13">
        <v>0</v>
      </c>
      <c r="R85" s="13">
        <f>U85+V85-W85</f>
        <v>0</v>
      </c>
      <c r="S85" s="13">
        <f>ROUND(O85-P85-Q85-R85,)</f>
        <v>0</v>
      </c>
      <c r="T85" s="14"/>
      <c r="U85" s="19">
        <f>1000-1000</f>
        <v>0</v>
      </c>
    </row>
    <row r="86" spans="1:24" s="2" customFormat="1">
      <c r="A86" s="11">
        <f t="shared" si="6"/>
        <v>82</v>
      </c>
      <c r="B86" s="11">
        <v>10805</v>
      </c>
      <c r="C86" s="11" t="s">
        <v>255</v>
      </c>
      <c r="D86" s="12" t="s">
        <v>41</v>
      </c>
      <c r="E86" s="12" t="s">
        <v>27</v>
      </c>
      <c r="F86" s="25" t="s">
        <v>256</v>
      </c>
      <c r="G86" s="12" t="s">
        <v>68</v>
      </c>
      <c r="H86" s="11" t="s">
        <v>69</v>
      </c>
      <c r="I86" s="11">
        <f>17000+500+1500+1500+3000+2000</f>
        <v>25500</v>
      </c>
      <c r="J86" s="11">
        <v>29.5</v>
      </c>
      <c r="K86" s="11">
        <v>0</v>
      </c>
      <c r="L86" s="13">
        <f>I86/31*J86</f>
        <v>24266.129032258064</v>
      </c>
      <c r="M86" s="13">
        <f>ROUND(I86/31/12*1*K86,0)</f>
        <v>0</v>
      </c>
      <c r="N86" s="13">
        <v>0</v>
      </c>
      <c r="O86" s="13">
        <f>SUM(L86:N86)</f>
        <v>24266.129032258064</v>
      </c>
      <c r="P86" s="13">
        <v>0</v>
      </c>
      <c r="Q86" s="13">
        <v>0</v>
      </c>
      <c r="R86" s="13">
        <f>U86+V86-W86+X86</f>
        <v>16000</v>
      </c>
      <c r="S86" s="13">
        <f>ROUND(O86-P86-Q86-R86,)</f>
        <v>8266</v>
      </c>
      <c r="T86" s="12"/>
      <c r="U86" s="2">
        <v>7000</v>
      </c>
      <c r="V86" s="19">
        <f>2000+7000</f>
        <v>9000</v>
      </c>
      <c r="X86" s="27"/>
    </row>
    <row r="87" spans="1:24" s="2" customFormat="1">
      <c r="A87" s="11">
        <f t="shared" si="6"/>
        <v>83</v>
      </c>
      <c r="B87" s="11">
        <v>11589</v>
      </c>
      <c r="C87" s="11" t="s">
        <v>168</v>
      </c>
      <c r="D87" s="11" t="s">
        <v>169</v>
      </c>
      <c r="E87" s="11" t="s">
        <v>170</v>
      </c>
      <c r="F87" s="25" t="s">
        <v>171</v>
      </c>
      <c r="G87" s="11" t="s">
        <v>172</v>
      </c>
      <c r="H87" s="12" t="s">
        <v>173</v>
      </c>
      <c r="I87" s="31">
        <v>21000</v>
      </c>
      <c r="J87" s="11">
        <v>31</v>
      </c>
      <c r="K87" s="11">
        <v>0</v>
      </c>
      <c r="L87" s="13">
        <f>I87/31*J87</f>
        <v>21000</v>
      </c>
      <c r="M87" s="13">
        <f>I87/8*2*K87</f>
        <v>0</v>
      </c>
      <c r="N87" s="13">
        <v>0</v>
      </c>
      <c r="O87" s="13">
        <f>SUM(L87:N87)</f>
        <v>21000</v>
      </c>
      <c r="P87" s="13">
        <v>0</v>
      </c>
      <c r="Q87" s="13">
        <v>0</v>
      </c>
      <c r="R87" s="13">
        <f>U87+V87-W87</f>
        <v>4400</v>
      </c>
      <c r="S87" s="13">
        <f>ROUND(O87-P87-Q87-R87,)</f>
        <v>16600</v>
      </c>
      <c r="T87" s="14"/>
      <c r="U87" s="2">
        <v>4400</v>
      </c>
    </row>
    <row r="88" spans="1:24" s="2" customFormat="1">
      <c r="A88" s="11">
        <f t="shared" si="6"/>
        <v>84</v>
      </c>
      <c r="B88" s="11">
        <v>11246</v>
      </c>
      <c r="C88" s="11" t="s">
        <v>257</v>
      </c>
      <c r="D88" s="11"/>
      <c r="E88" s="12" t="s">
        <v>27</v>
      </c>
      <c r="F88" s="25" t="s">
        <v>258</v>
      </c>
      <c r="G88" s="12" t="s">
        <v>172</v>
      </c>
      <c r="H88" s="12" t="s">
        <v>173</v>
      </c>
      <c r="I88" s="31">
        <v>24000</v>
      </c>
      <c r="J88" s="11">
        <v>27</v>
      </c>
      <c r="K88" s="11">
        <v>0</v>
      </c>
      <c r="L88" s="13">
        <f>I88/31*J88</f>
        <v>20903.225806451614</v>
      </c>
      <c r="M88" s="13">
        <f>ROUND(I88/31/12*1*K88,0)</f>
        <v>0</v>
      </c>
      <c r="N88" s="13">
        <v>0</v>
      </c>
      <c r="O88" s="13">
        <f>SUM(L88:N88)</f>
        <v>20903.225806451614</v>
      </c>
      <c r="P88" s="13">
        <v>0</v>
      </c>
      <c r="Q88" s="13">
        <v>0</v>
      </c>
      <c r="R88" s="13">
        <f>U88+V88-W88</f>
        <v>4400</v>
      </c>
      <c r="S88" s="13">
        <f>ROUND(O88-P88-Q88-R88,)</f>
        <v>16503</v>
      </c>
      <c r="T88" s="14"/>
      <c r="U88" s="2">
        <v>4400</v>
      </c>
    </row>
    <row r="89" spans="1:24" s="2" customFormat="1">
      <c r="A89" s="11">
        <f t="shared" si="6"/>
        <v>85</v>
      </c>
      <c r="B89" s="11">
        <v>11596</v>
      </c>
      <c r="C89" s="11" t="s">
        <v>259</v>
      </c>
      <c r="D89" s="11"/>
      <c r="E89" s="11" t="s">
        <v>260</v>
      </c>
      <c r="F89" s="11" t="s">
        <v>261</v>
      </c>
      <c r="G89" s="11" t="s">
        <v>262</v>
      </c>
      <c r="H89" s="12" t="s">
        <v>173</v>
      </c>
      <c r="I89" s="11">
        <f>270+10+20+30+20</f>
        <v>350</v>
      </c>
      <c r="J89" s="11">
        <v>31</v>
      </c>
      <c r="K89" s="11">
        <v>73</v>
      </c>
      <c r="L89" s="13">
        <f>I89*J89</f>
        <v>10850</v>
      </c>
      <c r="M89" s="13">
        <f>I89/8*2*K89</f>
        <v>6387.5</v>
      </c>
      <c r="N89" s="13">
        <v>0</v>
      </c>
      <c r="O89" s="13">
        <f>SUM(L89:N89)</f>
        <v>17237.5</v>
      </c>
      <c r="P89" s="13">
        <v>0</v>
      </c>
      <c r="Q89" s="13">
        <v>0</v>
      </c>
      <c r="R89" s="13">
        <f>U89+V89-W89</f>
        <v>14100</v>
      </c>
      <c r="S89" s="13">
        <f>ROUND(O89-P89-Q89-R89,)</f>
        <v>3138</v>
      </c>
      <c r="T89" s="14"/>
      <c r="U89" s="2">
        <v>4100</v>
      </c>
      <c r="V89" s="19">
        <v>10000</v>
      </c>
    </row>
    <row r="90" spans="1:24" s="2" customFormat="1">
      <c r="A90" s="11">
        <f t="shared" si="6"/>
        <v>86</v>
      </c>
      <c r="B90" s="11">
        <v>10487</v>
      </c>
      <c r="C90" s="11" t="s">
        <v>263</v>
      </c>
      <c r="D90" s="12" t="s">
        <v>36</v>
      </c>
      <c r="E90" s="11" t="s">
        <v>27</v>
      </c>
      <c r="F90" s="11" t="s">
        <v>264</v>
      </c>
      <c r="G90" s="11" t="s">
        <v>38</v>
      </c>
      <c r="H90" s="12" t="s">
        <v>265</v>
      </c>
      <c r="I90" s="11">
        <f>280+30+30+20+30+40+30</f>
        <v>460</v>
      </c>
      <c r="J90" s="11">
        <v>31</v>
      </c>
      <c r="K90" s="11">
        <v>72</v>
      </c>
      <c r="L90" s="13">
        <f>I90*J90</f>
        <v>14260</v>
      </c>
      <c r="M90" s="13">
        <f>I90/8*2*K90</f>
        <v>8280</v>
      </c>
      <c r="N90" s="13">
        <v>0</v>
      </c>
      <c r="O90" s="13">
        <f>SUM(L90:N90)</f>
        <v>22540</v>
      </c>
      <c r="P90" s="13">
        <v>0</v>
      </c>
      <c r="Q90" s="13">
        <v>0</v>
      </c>
      <c r="R90" s="13">
        <f>U90+V90-W90</f>
        <v>15900</v>
      </c>
      <c r="S90" s="13">
        <f>ROUND(O90-P90-Q90-R90,)</f>
        <v>6640</v>
      </c>
      <c r="T90" s="12"/>
      <c r="U90" s="2">
        <v>5900</v>
      </c>
      <c r="V90" s="2">
        <v>10000</v>
      </c>
    </row>
    <row r="91" spans="1:24" s="2" customFormat="1">
      <c r="A91" s="11">
        <f t="shared" si="6"/>
        <v>87</v>
      </c>
      <c r="B91" s="11">
        <v>10705</v>
      </c>
      <c r="C91" s="11" t="s">
        <v>266</v>
      </c>
      <c r="D91" s="12" t="s">
        <v>66</v>
      </c>
      <c r="E91" s="11" t="s">
        <v>27</v>
      </c>
      <c r="F91" s="11" t="s">
        <v>267</v>
      </c>
      <c r="G91" s="11" t="s">
        <v>68</v>
      </c>
      <c r="H91" s="11" t="s">
        <v>265</v>
      </c>
      <c r="I91" s="11">
        <f>280+30+30+20+20+20+30+30+5</f>
        <v>465</v>
      </c>
      <c r="J91" s="11">
        <v>18</v>
      </c>
      <c r="K91" s="11">
        <v>45</v>
      </c>
      <c r="L91" s="13">
        <f>I91*J91</f>
        <v>8370</v>
      </c>
      <c r="M91" s="13">
        <f>I91/8*2*K91</f>
        <v>5231.25</v>
      </c>
      <c r="N91" s="13">
        <v>0</v>
      </c>
      <c r="O91" s="13">
        <f>SUM(L91:N91)</f>
        <v>13601.25</v>
      </c>
      <c r="P91" s="13">
        <v>0</v>
      </c>
      <c r="Q91" s="13">
        <v>0</v>
      </c>
      <c r="R91" s="13">
        <f>U91+V91-W91</f>
        <v>3500</v>
      </c>
      <c r="S91" s="13">
        <f>ROUND(O91-P91-Q91-R91,)</f>
        <v>10101</v>
      </c>
      <c r="T91" s="12"/>
      <c r="U91" s="2">
        <v>3500</v>
      </c>
      <c r="V91" s="2">
        <f>11000-11000</f>
        <v>0</v>
      </c>
    </row>
    <row r="92" spans="1:24" s="2" customFormat="1">
      <c r="A92" s="11">
        <f t="shared" si="6"/>
        <v>88</v>
      </c>
      <c r="B92" s="11">
        <v>10734</v>
      </c>
      <c r="C92" s="11" t="s">
        <v>268</v>
      </c>
      <c r="D92" s="12" t="s">
        <v>36</v>
      </c>
      <c r="E92" s="11" t="s">
        <v>27</v>
      </c>
      <c r="F92" s="11" t="s">
        <v>269</v>
      </c>
      <c r="G92" s="11" t="s">
        <v>38</v>
      </c>
      <c r="H92" s="11" t="s">
        <v>265</v>
      </c>
      <c r="I92" s="11">
        <f>320+10+10+20+25+15+30+30</f>
        <v>460</v>
      </c>
      <c r="J92" s="11">
        <v>31</v>
      </c>
      <c r="K92" s="11">
        <v>74</v>
      </c>
      <c r="L92" s="13">
        <f>I92*J92</f>
        <v>14260</v>
      </c>
      <c r="M92" s="13">
        <f>I92/8*2*K92</f>
        <v>8510</v>
      </c>
      <c r="N92" s="13">
        <v>0</v>
      </c>
      <c r="O92" s="13">
        <f>SUM(L92:N92)</f>
        <v>22770</v>
      </c>
      <c r="P92" s="13">
        <v>0</v>
      </c>
      <c r="Q92" s="13">
        <v>0</v>
      </c>
      <c r="R92" s="13">
        <f>U92+V92-W92</f>
        <v>12000</v>
      </c>
      <c r="S92" s="13">
        <f>ROUND(O92-P92-Q92-R92,)</f>
        <v>10770</v>
      </c>
      <c r="T92" s="12"/>
      <c r="U92" s="2">
        <v>4000</v>
      </c>
      <c r="V92" s="19">
        <f>3000+5000</f>
        <v>8000</v>
      </c>
    </row>
    <row r="93" spans="1:24" s="2" customFormat="1">
      <c r="A93" s="11">
        <f t="shared" si="6"/>
        <v>89</v>
      </c>
      <c r="B93" s="11">
        <v>11024</v>
      </c>
      <c r="C93" s="11" t="s">
        <v>270</v>
      </c>
      <c r="D93" s="12" t="s">
        <v>66</v>
      </c>
      <c r="E93" s="11" t="s">
        <v>140</v>
      </c>
      <c r="F93" s="11" t="s">
        <v>271</v>
      </c>
      <c r="G93" s="11" t="s">
        <v>142</v>
      </c>
      <c r="H93" s="11" t="s">
        <v>265</v>
      </c>
      <c r="I93" s="11">
        <f>17000+1000+2000+1250+1500+1500</f>
        <v>24250</v>
      </c>
      <c r="J93" s="11">
        <v>29</v>
      </c>
      <c r="K93" s="11">
        <v>0</v>
      </c>
      <c r="L93" s="13">
        <f>I93/31*J93</f>
        <v>22685.483870967742</v>
      </c>
      <c r="M93" s="13">
        <f>ROUND(I93/31/12*1*K93,0)</f>
        <v>0</v>
      </c>
      <c r="N93" s="13">
        <v>1500</v>
      </c>
      <c r="O93" s="13">
        <f>SUM(L93:N93)</f>
        <v>24185.483870967742</v>
      </c>
      <c r="P93" s="13">
        <v>0</v>
      </c>
      <c r="Q93" s="13">
        <v>0</v>
      </c>
      <c r="R93" s="13">
        <f>U93+V93-W93</f>
        <v>7500</v>
      </c>
      <c r="S93" s="13">
        <f>ROUND(O93-P93-Q93-R93,)</f>
        <v>16685</v>
      </c>
      <c r="T93" s="12"/>
      <c r="U93" s="2">
        <v>7500</v>
      </c>
    </row>
    <row r="94" spans="1:24" s="2" customFormat="1">
      <c r="A94" s="11">
        <f t="shared" si="6"/>
        <v>90</v>
      </c>
      <c r="B94" s="11">
        <v>11297</v>
      </c>
      <c r="C94" s="11" t="s">
        <v>272</v>
      </c>
      <c r="D94" s="11"/>
      <c r="E94" s="11" t="s">
        <v>273</v>
      </c>
      <c r="F94" s="11" t="s">
        <v>274</v>
      </c>
      <c r="G94" s="11" t="s">
        <v>275</v>
      </c>
      <c r="H94" s="12" t="s">
        <v>265</v>
      </c>
      <c r="I94" s="11">
        <f>19000+1500+1500+1500+1500</f>
        <v>25000</v>
      </c>
      <c r="J94" s="11">
        <v>28</v>
      </c>
      <c r="K94" s="11">
        <v>0</v>
      </c>
      <c r="L94" s="13">
        <f>I94/31*J94</f>
        <v>22580.645161290326</v>
      </c>
      <c r="M94" s="13">
        <f>ROUND(I94/31/12*1*K94,0)</f>
        <v>0</v>
      </c>
      <c r="N94" s="13">
        <v>0</v>
      </c>
      <c r="O94" s="13">
        <f>SUM(L94:N94)</f>
        <v>22580.645161290326</v>
      </c>
      <c r="P94" s="13">
        <v>0</v>
      </c>
      <c r="Q94" s="13">
        <v>0</v>
      </c>
      <c r="R94" s="13">
        <f>U94+V94-W94</f>
        <v>5000</v>
      </c>
      <c r="S94" s="13">
        <f>ROUND(O94-P94-Q94-R94,)</f>
        <v>17581</v>
      </c>
      <c r="T94" s="14"/>
      <c r="U94" s="2">
        <v>5000</v>
      </c>
    </row>
    <row r="95" spans="1:24" s="2" customFormat="1">
      <c r="A95" s="11">
        <f t="shared" si="6"/>
        <v>91</v>
      </c>
      <c r="B95" s="11">
        <v>10731</v>
      </c>
      <c r="C95" s="11" t="s">
        <v>276</v>
      </c>
      <c r="D95" s="12" t="s">
        <v>36</v>
      </c>
      <c r="E95" s="26" t="s">
        <v>27</v>
      </c>
      <c r="F95" s="28" t="s">
        <v>277</v>
      </c>
      <c r="G95" s="28" t="s">
        <v>38</v>
      </c>
      <c r="H95" s="12" t="s">
        <v>265</v>
      </c>
      <c r="I95" s="11">
        <f>280+20+20+30+30+30</f>
        <v>410</v>
      </c>
      <c r="J95" s="11">
        <v>31</v>
      </c>
      <c r="K95" s="11">
        <v>74</v>
      </c>
      <c r="L95" s="13">
        <f>I95*J95</f>
        <v>12710</v>
      </c>
      <c r="M95" s="13">
        <f>I95/8*2*K95</f>
        <v>7585</v>
      </c>
      <c r="N95" s="13">
        <v>0</v>
      </c>
      <c r="O95" s="13">
        <f>SUM(L95:N95)</f>
        <v>20295</v>
      </c>
      <c r="P95" s="13">
        <v>0</v>
      </c>
      <c r="Q95" s="13">
        <v>0</v>
      </c>
      <c r="R95" s="13">
        <f>U95+V95-W95</f>
        <v>3800</v>
      </c>
      <c r="S95" s="13">
        <f>ROUND(O95-P95-Q95-R95,)</f>
        <v>16495</v>
      </c>
      <c r="T95" s="14"/>
      <c r="U95" s="2">
        <v>3800</v>
      </c>
    </row>
    <row r="96" spans="1:24" s="2" customFormat="1">
      <c r="A96" s="11">
        <f t="shared" si="6"/>
        <v>92</v>
      </c>
      <c r="B96" s="11">
        <v>11388</v>
      </c>
      <c r="C96" s="11" t="s">
        <v>278</v>
      </c>
      <c r="D96" s="11"/>
      <c r="E96" s="11" t="s">
        <v>279</v>
      </c>
      <c r="F96" s="11" t="s">
        <v>280</v>
      </c>
      <c r="G96" s="11" t="s">
        <v>281</v>
      </c>
      <c r="H96" s="12" t="s">
        <v>265</v>
      </c>
      <c r="I96" s="11">
        <f>17000+1000+750+1500+1500+250</f>
        <v>22000</v>
      </c>
      <c r="J96" s="11">
        <v>28</v>
      </c>
      <c r="K96" s="11">
        <v>0</v>
      </c>
      <c r="L96" s="13">
        <f>I96/31*J96</f>
        <v>19870.967741935481</v>
      </c>
      <c r="M96" s="13">
        <f>ROUND(I96/31/12*1*K96,0)</f>
        <v>0</v>
      </c>
      <c r="N96" s="13">
        <v>0</v>
      </c>
      <c r="O96" s="13">
        <f>SUM(L96:N96)</f>
        <v>19870.967741935481</v>
      </c>
      <c r="P96" s="13">
        <v>0</v>
      </c>
      <c r="Q96" s="13">
        <v>0</v>
      </c>
      <c r="R96" s="13">
        <f>U96+V96-W96</f>
        <v>15000</v>
      </c>
      <c r="S96" s="13">
        <f>ROUND(O96-P96-Q96-R96,)</f>
        <v>4871</v>
      </c>
      <c r="T96" s="14"/>
      <c r="U96" s="2">
        <v>10000</v>
      </c>
      <c r="V96" s="2">
        <v>5000</v>
      </c>
    </row>
    <row r="97" spans="1:22" s="2" customFormat="1">
      <c r="A97" s="11">
        <f t="shared" ref="A97:A99" si="7">+A96+1</f>
        <v>93</v>
      </c>
      <c r="B97" s="11">
        <v>11302</v>
      </c>
      <c r="C97" s="11" t="s">
        <v>282</v>
      </c>
      <c r="D97" s="12" t="s">
        <v>66</v>
      </c>
      <c r="E97" s="11" t="s">
        <v>27</v>
      </c>
      <c r="F97" s="11" t="s">
        <v>283</v>
      </c>
      <c r="G97" s="11" t="s">
        <v>68</v>
      </c>
      <c r="H97" s="12" t="s">
        <v>265</v>
      </c>
      <c r="I97" s="11">
        <f>21000+1500+1500</f>
        <v>24000</v>
      </c>
      <c r="J97" s="16">
        <v>29</v>
      </c>
      <c r="K97" s="11">
        <v>0</v>
      </c>
      <c r="L97" s="13">
        <f>I97/31*J97</f>
        <v>22451.612903225807</v>
      </c>
      <c r="M97" s="13">
        <f>ROUND(I97/31/12*1*K97,0)</f>
        <v>0</v>
      </c>
      <c r="N97" s="13">
        <v>0</v>
      </c>
      <c r="O97" s="13">
        <f>SUM(L97:N97)</f>
        <v>22451.612903225807</v>
      </c>
      <c r="P97" s="13">
        <v>0</v>
      </c>
      <c r="Q97" s="13">
        <v>0</v>
      </c>
      <c r="R97" s="13">
        <f>U97+V97-W97</f>
        <v>5000</v>
      </c>
      <c r="S97" s="13">
        <f>ROUND(O97-P97-Q97-R97,)</f>
        <v>17452</v>
      </c>
      <c r="T97" s="14"/>
      <c r="U97" s="2">
        <v>5000</v>
      </c>
    </row>
    <row r="98" spans="1:22" s="2" customFormat="1">
      <c r="A98" s="11">
        <f t="shared" si="7"/>
        <v>94</v>
      </c>
      <c r="B98" s="11"/>
      <c r="C98" s="11" t="s">
        <v>300</v>
      </c>
      <c r="D98" s="11"/>
      <c r="E98" s="11"/>
      <c r="F98" s="11" t="s">
        <v>301</v>
      </c>
      <c r="G98" s="11" t="s">
        <v>302</v>
      </c>
      <c r="H98" s="26" t="s">
        <v>265</v>
      </c>
      <c r="I98" s="14">
        <v>410</v>
      </c>
      <c r="J98" s="11">
        <v>31</v>
      </c>
      <c r="K98" s="11">
        <v>76</v>
      </c>
      <c r="L98" s="13">
        <f>I98*J98</f>
        <v>12710</v>
      </c>
      <c r="M98" s="13">
        <f>I98/8*2*K98</f>
        <v>7790</v>
      </c>
      <c r="N98" s="13">
        <v>0</v>
      </c>
      <c r="O98" s="13">
        <f>SUM(L98:N98)</f>
        <v>20500</v>
      </c>
      <c r="P98" s="13">
        <v>0</v>
      </c>
      <c r="Q98" s="13">
        <v>0</v>
      </c>
      <c r="R98" s="13">
        <f>U98+V98-W98</f>
        <v>10500</v>
      </c>
      <c r="S98" s="13">
        <f>ROUND(O98-P98-Q98-R98,)</f>
        <v>10000</v>
      </c>
      <c r="T98" s="14"/>
      <c r="U98" s="2">
        <v>5500</v>
      </c>
      <c r="V98" s="2">
        <v>5000</v>
      </c>
    </row>
    <row r="99" spans="1:22" s="2" customFormat="1">
      <c r="A99" s="11">
        <f t="shared" si="7"/>
        <v>95</v>
      </c>
      <c r="B99" s="11">
        <v>11370</v>
      </c>
      <c r="C99" s="11" t="s">
        <v>287</v>
      </c>
      <c r="D99" s="26" t="s">
        <v>36</v>
      </c>
      <c r="E99" s="12" t="s">
        <v>27</v>
      </c>
      <c r="F99" s="25" t="s">
        <v>288</v>
      </c>
      <c r="G99" s="12" t="s">
        <v>38</v>
      </c>
      <c r="H99" s="12" t="s">
        <v>289</v>
      </c>
      <c r="I99" s="11">
        <f>15000+1500</f>
        <v>16500</v>
      </c>
      <c r="J99" s="11">
        <v>33</v>
      </c>
      <c r="K99" s="11">
        <v>0</v>
      </c>
      <c r="L99" s="13">
        <f>I99/31*J99</f>
        <v>17564.516129032258</v>
      </c>
      <c r="M99" s="13">
        <f>ROUND(I99/31/12*1*K99,0)</f>
        <v>0</v>
      </c>
      <c r="N99" s="13">
        <v>0</v>
      </c>
      <c r="O99" s="13">
        <f>SUM(L99:N99)</f>
        <v>17564.516129032258</v>
      </c>
      <c r="P99" s="13">
        <v>0</v>
      </c>
      <c r="Q99" s="13">
        <v>0</v>
      </c>
      <c r="R99" s="13">
        <f>U99+V99-W99</f>
        <v>0</v>
      </c>
      <c r="S99" s="13">
        <f>ROUND(O99-P99-Q99-R99,)</f>
        <v>17565</v>
      </c>
      <c r="T99" s="14"/>
      <c r="U99" s="2">
        <v>0</v>
      </c>
    </row>
    <row r="100" spans="1:22" s="2" customFormat="1">
      <c r="A100" s="11"/>
      <c r="B100" s="11"/>
      <c r="C100" s="12"/>
      <c r="D100" s="11"/>
      <c r="E100" s="11"/>
      <c r="F100" s="11"/>
      <c r="G100" s="11"/>
      <c r="H100" s="11"/>
      <c r="I100" s="14"/>
      <c r="J100" s="11"/>
      <c r="K100" s="11"/>
      <c r="L100" s="13"/>
      <c r="M100" s="13"/>
      <c r="N100" s="13"/>
      <c r="O100" s="13"/>
      <c r="P100" s="13"/>
      <c r="Q100" s="13"/>
      <c r="R100" s="13"/>
      <c r="S100" s="13"/>
      <c r="T100" s="14"/>
    </row>
    <row r="101" spans="1:22" s="2" customFormat="1">
      <c r="A101" s="11"/>
      <c r="B101" s="11"/>
      <c r="C101" s="12"/>
      <c r="D101" s="11"/>
      <c r="E101" s="11"/>
      <c r="F101" s="11"/>
      <c r="G101" s="11"/>
      <c r="H101" s="11"/>
      <c r="I101" s="14"/>
      <c r="J101" s="11"/>
      <c r="K101" s="11"/>
      <c r="L101" s="13"/>
      <c r="M101" s="13"/>
      <c r="N101" s="13"/>
      <c r="O101" s="13"/>
      <c r="P101" s="13"/>
      <c r="Q101" s="13"/>
      <c r="R101" s="13"/>
      <c r="S101" s="13"/>
      <c r="T101" s="14"/>
    </row>
    <row r="102" spans="1:22" s="2" customFormat="1">
      <c r="A102" s="11"/>
      <c r="B102" s="11"/>
      <c r="C102" s="12"/>
      <c r="D102" s="11"/>
      <c r="E102" s="11"/>
      <c r="F102" s="11"/>
      <c r="G102" s="11"/>
      <c r="H102" s="12"/>
      <c r="I102" s="11"/>
      <c r="J102" s="11"/>
      <c r="K102" s="11"/>
      <c r="L102" s="13"/>
      <c r="M102" s="13"/>
      <c r="N102" s="13"/>
      <c r="O102" s="13"/>
      <c r="P102" s="13"/>
      <c r="Q102" s="13"/>
      <c r="R102" s="13"/>
      <c r="S102" s="13"/>
      <c r="T102" s="14"/>
      <c r="U102" s="27"/>
      <c r="V102" s="27"/>
    </row>
    <row r="103" spans="1:22" s="2" customFormat="1">
      <c r="A103" s="11"/>
      <c r="B103" s="11"/>
      <c r="C103" s="14" t="s">
        <v>307</v>
      </c>
      <c r="D103" s="14"/>
      <c r="E103" s="14"/>
      <c r="F103" s="14"/>
      <c r="G103" s="14"/>
      <c r="H103" s="14"/>
      <c r="I103" s="14"/>
      <c r="J103" s="14"/>
      <c r="K103" s="14"/>
      <c r="L103" s="30">
        <f t="shared" ref="L103:S103" si="8">SUBTOTAL(9,L5:L102)</f>
        <v>1879092.983870968</v>
      </c>
      <c r="M103" s="30">
        <f t="shared" si="8"/>
        <v>103625.25</v>
      </c>
      <c r="N103" s="30">
        <f t="shared" si="8"/>
        <v>72650</v>
      </c>
      <c r="O103" s="30">
        <f t="shared" si="8"/>
        <v>2055368.233870968</v>
      </c>
      <c r="P103" s="30">
        <f t="shared" si="8"/>
        <v>44996</v>
      </c>
      <c r="Q103" s="30">
        <f t="shared" si="8"/>
        <v>78</v>
      </c>
      <c r="R103" s="30">
        <f t="shared" si="8"/>
        <v>589800</v>
      </c>
      <c r="S103" s="30">
        <f t="shared" si="8"/>
        <v>1420494</v>
      </c>
      <c r="T103" s="12"/>
      <c r="U103" s="27"/>
      <c r="V103" s="27"/>
    </row>
    <row r="104" spans="1:22">
      <c r="U104" s="27"/>
      <c r="V104" s="27"/>
    </row>
    <row r="105" spans="1:22">
      <c r="U105" s="27"/>
      <c r="V105" s="27"/>
    </row>
    <row r="108" spans="1:22">
      <c r="S108" s="20"/>
    </row>
  </sheetData>
  <autoFilter ref="A4:V99">
    <filterColumn colId="1"/>
    <filterColumn colId="3"/>
    <filterColumn colId="18"/>
  </autoFilter>
  <sortState ref="A32:X99">
    <sortCondition ref="H32:H99"/>
  </sortState>
  <mergeCells count="14">
    <mergeCell ref="L3:O3"/>
    <mergeCell ref="P3:R3"/>
    <mergeCell ref="S3:S4"/>
    <mergeCell ref="T3:T4"/>
    <mergeCell ref="A1:T1"/>
    <mergeCell ref="A2:T2"/>
    <mergeCell ref="A3:A4"/>
    <mergeCell ref="B3:B4"/>
    <mergeCell ref="C3:C4"/>
    <mergeCell ref="D3:G3"/>
    <mergeCell ref="H3:H4"/>
    <mergeCell ref="I3:I4"/>
    <mergeCell ref="J3:J4"/>
    <mergeCell ref="K3:K4"/>
  </mergeCells>
  <pageMargins left="0.19685039370078741" right="0.19685039370078741" top="0.35433070866141736" bottom="0.27559055118110237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Jun.25</vt:lpstr>
      <vt:lpstr>Jul.25</vt:lpstr>
      <vt:lpstr>Aug.25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SASEC</dc:creator>
  <cp:lastModifiedBy>SASEC</cp:lastModifiedBy>
  <dcterms:created xsi:type="dcterms:W3CDTF">2026-05-30T12:38:39Z</dcterms:created>
  <dcterms:modified xsi:type="dcterms:W3CDTF">2026-05-30T13:14:30Z</dcterms:modified>
</cp:coreProperties>
</file>